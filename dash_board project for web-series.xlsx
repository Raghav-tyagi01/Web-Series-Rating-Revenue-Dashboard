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agha\Downloads\"/>
    </mc:Choice>
  </mc:AlternateContent>
  <xr:revisionPtr revIDLastSave="0" documentId="8_{0AAC5068-D981-4279-A938-57BE96BBFDD9}" xr6:coauthVersionLast="47" xr6:coauthVersionMax="47" xr10:uidLastSave="{00000000-0000-0000-0000-000000000000}"/>
  <bookViews>
    <workbookView xWindow="-108" yWindow="-108" windowWidth="23256" windowHeight="12456" tabRatio="500" firstSheet="2" activeTab="4" xr2:uid="{00000000-000D-0000-FFFF-FFFF00000000}"/>
  </bookViews>
  <sheets>
    <sheet name="Web Series Ratings" sheetId="1" r:id="rId1"/>
    <sheet name="Industry Summary" sheetId="2" r:id="rId2"/>
    <sheet name="Platform Summary" sheetId="3" r:id="rId3"/>
    <sheet name="Genre Summary" sheetId="4" r:id="rId4"/>
    <sheet name="final_dashboard" sheetId="7" r:id="rId5"/>
    <sheet name="dash board" sheetId="6" r:id="rId6"/>
  </sheets>
  <definedNames>
    <definedName name="Slicer_Months__date">#N/A</definedName>
  </definedNames>
  <calcPr calcId="191029" iterateDelta="1E-4"/>
  <pivotCaches>
    <pivotCache cacheId="39"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4" l="1"/>
  <c r="C10" i="4"/>
  <c r="B10" i="4"/>
  <c r="D9" i="4"/>
  <c r="C9" i="4"/>
  <c r="B9" i="4"/>
  <c r="D8" i="4"/>
  <c r="C8" i="4"/>
  <c r="B8" i="4"/>
  <c r="D7" i="4"/>
  <c r="C7" i="4"/>
  <c r="B7" i="4"/>
  <c r="D6" i="4"/>
  <c r="C6" i="4"/>
  <c r="B6" i="4"/>
  <c r="D5" i="4"/>
  <c r="C5" i="4"/>
  <c r="B5" i="4"/>
  <c r="D4" i="4"/>
  <c r="C4" i="4"/>
  <c r="B4" i="4"/>
  <c r="D3" i="4"/>
  <c r="C3" i="4"/>
  <c r="B3" i="4"/>
  <c r="D7" i="3"/>
  <c r="C7" i="3"/>
  <c r="B7" i="3"/>
  <c r="D6" i="3"/>
  <c r="C6" i="3"/>
  <c r="B6" i="3"/>
  <c r="D5" i="3"/>
  <c r="C5" i="3"/>
  <c r="B5" i="3"/>
  <c r="D4" i="3"/>
  <c r="C4" i="3"/>
  <c r="B4" i="3"/>
  <c r="D3" i="3"/>
  <c r="C3" i="3"/>
  <c r="B3" i="3"/>
  <c r="D7" i="2"/>
  <c r="C7" i="2"/>
  <c r="B7" i="2"/>
  <c r="D6" i="2"/>
  <c r="C6" i="2"/>
  <c r="B6" i="2"/>
  <c r="B9" i="2" s="1"/>
  <c r="D5" i="2"/>
  <c r="C5" i="2"/>
  <c r="B5" i="2"/>
  <c r="D4" i="2"/>
  <c r="C4" i="2"/>
  <c r="B4" i="2"/>
  <c r="D3" i="2"/>
  <c r="C3" i="2"/>
  <c r="B3" i="2"/>
  <c r="K501" i="1"/>
  <c r="L501" i="1" s="1"/>
  <c r="K500" i="1"/>
  <c r="L500" i="1" s="1"/>
  <c r="K499" i="1"/>
  <c r="L499" i="1" s="1"/>
  <c r="K498" i="1"/>
  <c r="L498" i="1" s="1"/>
  <c r="K497" i="1"/>
  <c r="L497" i="1" s="1"/>
  <c r="K496" i="1"/>
  <c r="L496" i="1" s="1"/>
  <c r="K495" i="1"/>
  <c r="L495" i="1" s="1"/>
  <c r="K494" i="1"/>
  <c r="L494" i="1" s="1"/>
  <c r="K493" i="1"/>
  <c r="L493" i="1" s="1"/>
  <c r="K492" i="1"/>
  <c r="L492" i="1" s="1"/>
  <c r="K491" i="1"/>
  <c r="L491" i="1" s="1"/>
  <c r="K490" i="1"/>
  <c r="L490" i="1" s="1"/>
  <c r="K489" i="1"/>
  <c r="L489" i="1" s="1"/>
  <c r="K488" i="1"/>
  <c r="L488" i="1" s="1"/>
  <c r="K487" i="1"/>
  <c r="L487" i="1" s="1"/>
  <c r="K486" i="1"/>
  <c r="L486" i="1" s="1"/>
  <c r="K485" i="1"/>
  <c r="L485" i="1" s="1"/>
  <c r="K484" i="1"/>
  <c r="L484" i="1" s="1"/>
  <c r="K483" i="1"/>
  <c r="L483" i="1" s="1"/>
  <c r="K482" i="1"/>
  <c r="L482" i="1" s="1"/>
  <c r="K481" i="1"/>
  <c r="L481" i="1" s="1"/>
  <c r="K480" i="1"/>
  <c r="L480" i="1" s="1"/>
  <c r="K479" i="1"/>
  <c r="L479" i="1" s="1"/>
  <c r="K478" i="1"/>
  <c r="L478" i="1" s="1"/>
  <c r="K477" i="1"/>
  <c r="L477" i="1" s="1"/>
  <c r="K476" i="1"/>
  <c r="L476" i="1" s="1"/>
  <c r="K475" i="1"/>
  <c r="L475" i="1" s="1"/>
  <c r="K474" i="1"/>
  <c r="L474" i="1" s="1"/>
  <c r="K473" i="1"/>
  <c r="L473" i="1" s="1"/>
  <c r="K472" i="1"/>
  <c r="L472" i="1" s="1"/>
  <c r="K471" i="1"/>
  <c r="L471" i="1" s="1"/>
  <c r="K470" i="1"/>
  <c r="L470" i="1" s="1"/>
  <c r="K469" i="1"/>
  <c r="L469" i="1" s="1"/>
  <c r="K468" i="1"/>
  <c r="L468" i="1" s="1"/>
  <c r="K467" i="1"/>
  <c r="L467" i="1" s="1"/>
  <c r="K466" i="1"/>
  <c r="L466" i="1" s="1"/>
  <c r="K465" i="1"/>
  <c r="L465" i="1" s="1"/>
  <c r="K464" i="1"/>
  <c r="L464" i="1" s="1"/>
  <c r="K463" i="1"/>
  <c r="L463" i="1" s="1"/>
  <c r="K462" i="1"/>
  <c r="L462" i="1" s="1"/>
  <c r="K461" i="1"/>
  <c r="L461" i="1" s="1"/>
  <c r="K460" i="1"/>
  <c r="L460" i="1" s="1"/>
  <c r="K459" i="1"/>
  <c r="L459" i="1" s="1"/>
  <c r="K458" i="1"/>
  <c r="L458" i="1" s="1"/>
  <c r="K457" i="1"/>
  <c r="L457" i="1" s="1"/>
  <c r="K456" i="1"/>
  <c r="L456" i="1" s="1"/>
  <c r="K455" i="1"/>
  <c r="L455" i="1" s="1"/>
  <c r="K454" i="1"/>
  <c r="L454" i="1" s="1"/>
  <c r="K453" i="1"/>
  <c r="L453" i="1" s="1"/>
  <c r="K452" i="1"/>
  <c r="L452" i="1" s="1"/>
  <c r="K451" i="1"/>
  <c r="L451" i="1" s="1"/>
  <c r="K450" i="1"/>
  <c r="L450" i="1" s="1"/>
  <c r="K449" i="1"/>
  <c r="L449" i="1" s="1"/>
  <c r="K448" i="1"/>
  <c r="L448" i="1" s="1"/>
  <c r="K447" i="1"/>
  <c r="L447" i="1" s="1"/>
  <c r="K446" i="1"/>
  <c r="L446" i="1" s="1"/>
  <c r="K445" i="1"/>
  <c r="L445" i="1" s="1"/>
  <c r="K444" i="1"/>
  <c r="L444" i="1" s="1"/>
  <c r="K443" i="1"/>
  <c r="L443" i="1" s="1"/>
  <c r="K442" i="1"/>
  <c r="L442" i="1" s="1"/>
  <c r="K441" i="1"/>
  <c r="L441" i="1" s="1"/>
  <c r="K440" i="1"/>
  <c r="L440" i="1" s="1"/>
  <c r="K439" i="1"/>
  <c r="L439" i="1" s="1"/>
  <c r="K438" i="1"/>
  <c r="L438" i="1" s="1"/>
  <c r="K437" i="1"/>
  <c r="L437" i="1" s="1"/>
  <c r="K436" i="1"/>
  <c r="L436" i="1" s="1"/>
  <c r="K435" i="1"/>
  <c r="L435" i="1" s="1"/>
  <c r="K434" i="1"/>
  <c r="L434" i="1" s="1"/>
  <c r="K433" i="1"/>
  <c r="L433" i="1" s="1"/>
  <c r="K432" i="1"/>
  <c r="L432" i="1" s="1"/>
  <c r="K431" i="1"/>
  <c r="L431" i="1" s="1"/>
  <c r="K430" i="1"/>
  <c r="L430" i="1" s="1"/>
  <c r="K429" i="1"/>
  <c r="L429" i="1" s="1"/>
  <c r="K428" i="1"/>
  <c r="L428" i="1" s="1"/>
  <c r="K427" i="1"/>
  <c r="L427" i="1" s="1"/>
  <c r="K426" i="1"/>
  <c r="L426" i="1" s="1"/>
  <c r="K425" i="1"/>
  <c r="L425" i="1" s="1"/>
  <c r="K424" i="1"/>
  <c r="L424" i="1" s="1"/>
  <c r="K423" i="1"/>
  <c r="L423" i="1" s="1"/>
  <c r="K422" i="1"/>
  <c r="L422" i="1" s="1"/>
  <c r="K421" i="1"/>
  <c r="L421" i="1" s="1"/>
  <c r="K420" i="1"/>
  <c r="L420" i="1" s="1"/>
  <c r="K419" i="1"/>
  <c r="L419" i="1" s="1"/>
  <c r="K418" i="1"/>
  <c r="L418" i="1" s="1"/>
  <c r="K417" i="1"/>
  <c r="L417" i="1" s="1"/>
  <c r="K416" i="1"/>
  <c r="L416" i="1" s="1"/>
  <c r="K415" i="1"/>
  <c r="L415" i="1" s="1"/>
  <c r="K414" i="1"/>
  <c r="L414" i="1" s="1"/>
  <c r="K413" i="1"/>
  <c r="L413" i="1" s="1"/>
  <c r="K412" i="1"/>
  <c r="L412" i="1" s="1"/>
  <c r="K411" i="1"/>
  <c r="L411" i="1" s="1"/>
  <c r="K410" i="1"/>
  <c r="L410" i="1" s="1"/>
  <c r="K409" i="1"/>
  <c r="L409" i="1" s="1"/>
  <c r="K408" i="1"/>
  <c r="L408" i="1" s="1"/>
  <c r="K407" i="1"/>
  <c r="L407" i="1" s="1"/>
  <c r="K406" i="1"/>
  <c r="L406" i="1" s="1"/>
  <c r="K405" i="1"/>
  <c r="L405" i="1" s="1"/>
  <c r="K404" i="1"/>
  <c r="L404" i="1" s="1"/>
  <c r="K403" i="1"/>
  <c r="L403" i="1" s="1"/>
  <c r="K402" i="1"/>
  <c r="L402" i="1" s="1"/>
  <c r="K401" i="1"/>
  <c r="L401" i="1" s="1"/>
  <c r="K400" i="1"/>
  <c r="L400" i="1" s="1"/>
  <c r="K399" i="1"/>
  <c r="L399" i="1" s="1"/>
  <c r="K398" i="1"/>
  <c r="L398" i="1" s="1"/>
  <c r="K397" i="1"/>
  <c r="L397" i="1" s="1"/>
  <c r="K396" i="1"/>
  <c r="L396" i="1" s="1"/>
  <c r="K395" i="1"/>
  <c r="L395" i="1" s="1"/>
  <c r="K394" i="1"/>
  <c r="L394" i="1" s="1"/>
  <c r="K393" i="1"/>
  <c r="L393" i="1" s="1"/>
  <c r="K392" i="1"/>
  <c r="L392" i="1" s="1"/>
  <c r="K391" i="1"/>
  <c r="L391" i="1" s="1"/>
  <c r="K390" i="1"/>
  <c r="L390" i="1" s="1"/>
  <c r="K389" i="1"/>
  <c r="L389" i="1" s="1"/>
  <c r="K388" i="1"/>
  <c r="L388" i="1" s="1"/>
  <c r="K387" i="1"/>
  <c r="L387" i="1" s="1"/>
  <c r="K386" i="1"/>
  <c r="L386" i="1" s="1"/>
  <c r="K385" i="1"/>
  <c r="L385" i="1" s="1"/>
  <c r="K384" i="1"/>
  <c r="L384" i="1" s="1"/>
  <c r="K383" i="1"/>
  <c r="L383" i="1" s="1"/>
  <c r="K382" i="1"/>
  <c r="L382" i="1" s="1"/>
  <c r="K381" i="1"/>
  <c r="L381" i="1" s="1"/>
  <c r="K380" i="1"/>
  <c r="L380" i="1" s="1"/>
  <c r="K379" i="1"/>
  <c r="L379" i="1" s="1"/>
  <c r="K378" i="1"/>
  <c r="L378" i="1" s="1"/>
  <c r="K377" i="1"/>
  <c r="L377" i="1" s="1"/>
  <c r="K376" i="1"/>
  <c r="L376" i="1" s="1"/>
  <c r="K375" i="1"/>
  <c r="L375" i="1" s="1"/>
  <c r="K374" i="1"/>
  <c r="L374" i="1" s="1"/>
  <c r="K373" i="1"/>
  <c r="L373" i="1" s="1"/>
  <c r="K372" i="1"/>
  <c r="L372" i="1" s="1"/>
  <c r="K371" i="1"/>
  <c r="L371" i="1" s="1"/>
  <c r="K370" i="1"/>
  <c r="L370" i="1" s="1"/>
  <c r="K369" i="1"/>
  <c r="L369" i="1" s="1"/>
  <c r="K368" i="1"/>
  <c r="L368" i="1" s="1"/>
  <c r="K367" i="1"/>
  <c r="L367" i="1" s="1"/>
  <c r="K366" i="1"/>
  <c r="L366" i="1" s="1"/>
  <c r="K365" i="1"/>
  <c r="L365" i="1" s="1"/>
  <c r="K364" i="1"/>
  <c r="L364" i="1" s="1"/>
  <c r="K363" i="1"/>
  <c r="L363" i="1" s="1"/>
  <c r="K362" i="1"/>
  <c r="L362" i="1" s="1"/>
  <c r="K361" i="1"/>
  <c r="L361" i="1" s="1"/>
  <c r="K360" i="1"/>
  <c r="L360" i="1" s="1"/>
  <c r="K359" i="1"/>
  <c r="L359" i="1" s="1"/>
  <c r="K358" i="1"/>
  <c r="L358" i="1" s="1"/>
  <c r="K357" i="1"/>
  <c r="L357" i="1" s="1"/>
  <c r="K356" i="1"/>
  <c r="L356" i="1" s="1"/>
  <c r="K355" i="1"/>
  <c r="L355" i="1" s="1"/>
  <c r="K354" i="1"/>
  <c r="L354" i="1" s="1"/>
  <c r="K353" i="1"/>
  <c r="L353" i="1" s="1"/>
  <c r="K352" i="1"/>
  <c r="L352" i="1" s="1"/>
  <c r="K351" i="1"/>
  <c r="L351" i="1" s="1"/>
  <c r="K350" i="1"/>
  <c r="L350" i="1" s="1"/>
  <c r="K349" i="1"/>
  <c r="L349" i="1" s="1"/>
  <c r="K348" i="1"/>
  <c r="L348" i="1" s="1"/>
  <c r="K347" i="1"/>
  <c r="L347" i="1" s="1"/>
  <c r="K346" i="1"/>
  <c r="L346" i="1" s="1"/>
  <c r="K345" i="1"/>
  <c r="L345" i="1" s="1"/>
  <c r="K344" i="1"/>
  <c r="L344" i="1" s="1"/>
  <c r="K343" i="1"/>
  <c r="L343" i="1" s="1"/>
  <c r="K342" i="1"/>
  <c r="L342" i="1" s="1"/>
  <c r="K341" i="1"/>
  <c r="L341" i="1" s="1"/>
  <c r="K340" i="1"/>
  <c r="L340" i="1" s="1"/>
  <c r="K339" i="1"/>
  <c r="L339" i="1" s="1"/>
  <c r="K338" i="1"/>
  <c r="L338" i="1" s="1"/>
  <c r="K337" i="1"/>
  <c r="L337" i="1" s="1"/>
  <c r="K336" i="1"/>
  <c r="L336" i="1" s="1"/>
  <c r="K335" i="1"/>
  <c r="L335" i="1" s="1"/>
  <c r="K334" i="1"/>
  <c r="L334" i="1" s="1"/>
  <c r="K333" i="1"/>
  <c r="L333" i="1" s="1"/>
  <c r="K332" i="1"/>
  <c r="L332" i="1" s="1"/>
  <c r="K331" i="1"/>
  <c r="L331" i="1" s="1"/>
  <c r="K330" i="1"/>
  <c r="L330" i="1" s="1"/>
  <c r="K329" i="1"/>
  <c r="L329" i="1" s="1"/>
  <c r="K328" i="1"/>
  <c r="L328" i="1" s="1"/>
  <c r="K327" i="1"/>
  <c r="L327" i="1" s="1"/>
  <c r="K326" i="1"/>
  <c r="L326" i="1" s="1"/>
  <c r="K325" i="1"/>
  <c r="L325" i="1" s="1"/>
  <c r="K324" i="1"/>
  <c r="L324" i="1" s="1"/>
  <c r="K323" i="1"/>
  <c r="L323" i="1" s="1"/>
  <c r="K322" i="1"/>
  <c r="L322" i="1" s="1"/>
  <c r="L321" i="1"/>
  <c r="K321" i="1"/>
  <c r="K320" i="1"/>
  <c r="L320" i="1" s="1"/>
  <c r="K319" i="1"/>
  <c r="L319" i="1" s="1"/>
  <c r="K318" i="1"/>
  <c r="L318" i="1" s="1"/>
  <c r="K317" i="1"/>
  <c r="L317" i="1" s="1"/>
  <c r="K316" i="1"/>
  <c r="L316" i="1" s="1"/>
  <c r="K315" i="1"/>
  <c r="L315" i="1" s="1"/>
  <c r="K314" i="1"/>
  <c r="L314" i="1" s="1"/>
  <c r="K313" i="1"/>
  <c r="L313" i="1" s="1"/>
  <c r="K312" i="1"/>
  <c r="L312" i="1" s="1"/>
  <c r="K311" i="1"/>
  <c r="L311" i="1" s="1"/>
  <c r="K310" i="1"/>
  <c r="L310" i="1" s="1"/>
  <c r="K309" i="1"/>
  <c r="L309" i="1" s="1"/>
  <c r="K308" i="1"/>
  <c r="L308" i="1" s="1"/>
  <c r="K307" i="1"/>
  <c r="L307" i="1" s="1"/>
  <c r="K306" i="1"/>
  <c r="L306" i="1" s="1"/>
  <c r="K305" i="1"/>
  <c r="L305" i="1" s="1"/>
  <c r="K304" i="1"/>
  <c r="L304" i="1" s="1"/>
  <c r="K303" i="1"/>
  <c r="L303" i="1" s="1"/>
  <c r="K302" i="1"/>
  <c r="L302" i="1" s="1"/>
  <c r="K301" i="1"/>
  <c r="L301" i="1" s="1"/>
  <c r="K300" i="1"/>
  <c r="L300" i="1" s="1"/>
  <c r="K299" i="1"/>
  <c r="L299" i="1" s="1"/>
  <c r="K298" i="1"/>
  <c r="L298" i="1" s="1"/>
  <c r="K297" i="1"/>
  <c r="L297" i="1" s="1"/>
  <c r="K296" i="1"/>
  <c r="L296" i="1" s="1"/>
  <c r="K295" i="1"/>
  <c r="L295" i="1" s="1"/>
  <c r="K294" i="1"/>
  <c r="L294" i="1" s="1"/>
  <c r="K293" i="1"/>
  <c r="L293" i="1" s="1"/>
  <c r="K292" i="1"/>
  <c r="L292" i="1" s="1"/>
  <c r="K291" i="1"/>
  <c r="L291" i="1" s="1"/>
  <c r="K290" i="1"/>
  <c r="L290" i="1" s="1"/>
  <c r="K289" i="1"/>
  <c r="L289" i="1" s="1"/>
  <c r="K288" i="1"/>
  <c r="L288" i="1" s="1"/>
  <c r="K287" i="1"/>
  <c r="L287" i="1" s="1"/>
  <c r="K286" i="1"/>
  <c r="L286" i="1" s="1"/>
  <c r="K285" i="1"/>
  <c r="L285" i="1" s="1"/>
  <c r="K284" i="1"/>
  <c r="L284" i="1" s="1"/>
  <c r="K283" i="1"/>
  <c r="L283" i="1" s="1"/>
  <c r="K282" i="1"/>
  <c r="L282" i="1" s="1"/>
  <c r="K281" i="1"/>
  <c r="L281" i="1" s="1"/>
  <c r="K280" i="1"/>
  <c r="L280" i="1" s="1"/>
  <c r="K279" i="1"/>
  <c r="L279" i="1" s="1"/>
  <c r="K278" i="1"/>
  <c r="L278" i="1" s="1"/>
  <c r="K277" i="1"/>
  <c r="L277" i="1" s="1"/>
  <c r="K276" i="1"/>
  <c r="L276" i="1" s="1"/>
  <c r="K275" i="1"/>
  <c r="L275" i="1" s="1"/>
  <c r="K274" i="1"/>
  <c r="L274" i="1" s="1"/>
  <c r="K273" i="1"/>
  <c r="L273" i="1" s="1"/>
  <c r="K272" i="1"/>
  <c r="L272" i="1" s="1"/>
  <c r="K271" i="1"/>
  <c r="L271" i="1" s="1"/>
  <c r="K270" i="1"/>
  <c r="L270" i="1" s="1"/>
  <c r="K269" i="1"/>
  <c r="L269" i="1" s="1"/>
  <c r="K268" i="1"/>
  <c r="L268" i="1" s="1"/>
  <c r="K267" i="1"/>
  <c r="L267" i="1" s="1"/>
  <c r="K266" i="1"/>
  <c r="L266" i="1" s="1"/>
  <c r="K265" i="1"/>
  <c r="L265" i="1" s="1"/>
  <c r="K264" i="1"/>
  <c r="L264" i="1" s="1"/>
  <c r="K263" i="1"/>
  <c r="L263" i="1" s="1"/>
  <c r="K262" i="1"/>
  <c r="L262" i="1" s="1"/>
  <c r="K261" i="1"/>
  <c r="L261" i="1" s="1"/>
  <c r="K260" i="1"/>
  <c r="L260" i="1" s="1"/>
  <c r="K259" i="1"/>
  <c r="L259" i="1" s="1"/>
  <c r="K258" i="1"/>
  <c r="L258" i="1" s="1"/>
  <c r="K257" i="1"/>
  <c r="L257" i="1" s="1"/>
  <c r="K256" i="1"/>
  <c r="L256" i="1" s="1"/>
  <c r="K255" i="1"/>
  <c r="L255" i="1" s="1"/>
  <c r="K254" i="1"/>
  <c r="L254" i="1" s="1"/>
  <c r="K253" i="1"/>
  <c r="L253" i="1" s="1"/>
  <c r="K252" i="1"/>
  <c r="L252" i="1" s="1"/>
  <c r="K251" i="1"/>
  <c r="L251" i="1" s="1"/>
  <c r="K250" i="1"/>
  <c r="L250" i="1" s="1"/>
  <c r="K249" i="1"/>
  <c r="L249" i="1" s="1"/>
  <c r="K248" i="1"/>
  <c r="L248" i="1" s="1"/>
  <c r="K247" i="1"/>
  <c r="L247" i="1" s="1"/>
  <c r="K246" i="1"/>
  <c r="L246" i="1" s="1"/>
  <c r="K245" i="1"/>
  <c r="L245" i="1" s="1"/>
  <c r="K244" i="1"/>
  <c r="L244" i="1" s="1"/>
  <c r="K243" i="1"/>
  <c r="L243" i="1" s="1"/>
  <c r="K242" i="1"/>
  <c r="L242" i="1" s="1"/>
  <c r="K241" i="1"/>
  <c r="L241" i="1" s="1"/>
  <c r="K240" i="1"/>
  <c r="L240" i="1" s="1"/>
  <c r="K239" i="1"/>
  <c r="L239" i="1" s="1"/>
  <c r="K238" i="1"/>
  <c r="L238" i="1" s="1"/>
  <c r="K237" i="1"/>
  <c r="L237" i="1" s="1"/>
  <c r="K236" i="1"/>
  <c r="L236" i="1" s="1"/>
  <c r="K235" i="1"/>
  <c r="L235" i="1" s="1"/>
  <c r="K234" i="1"/>
  <c r="L234" i="1" s="1"/>
  <c r="K233" i="1"/>
  <c r="L233" i="1" s="1"/>
  <c r="K232" i="1"/>
  <c r="L232" i="1" s="1"/>
  <c r="K231" i="1"/>
  <c r="L231" i="1" s="1"/>
  <c r="K230" i="1"/>
  <c r="L230" i="1" s="1"/>
  <c r="K229" i="1"/>
  <c r="L229" i="1" s="1"/>
  <c r="K228" i="1"/>
  <c r="L228" i="1" s="1"/>
  <c r="K227" i="1"/>
  <c r="L227" i="1" s="1"/>
  <c r="K226" i="1"/>
  <c r="L226" i="1" s="1"/>
  <c r="K225" i="1"/>
  <c r="L225" i="1" s="1"/>
  <c r="K224" i="1"/>
  <c r="L224" i="1" s="1"/>
  <c r="K223" i="1"/>
  <c r="L223" i="1" s="1"/>
  <c r="K222" i="1"/>
  <c r="L222" i="1" s="1"/>
  <c r="K221" i="1"/>
  <c r="L221" i="1" s="1"/>
  <c r="K220" i="1"/>
  <c r="L220" i="1" s="1"/>
  <c r="K219" i="1"/>
  <c r="L219" i="1" s="1"/>
  <c r="K218" i="1"/>
  <c r="L218" i="1" s="1"/>
  <c r="K217" i="1"/>
  <c r="L217" i="1" s="1"/>
  <c r="K216" i="1"/>
  <c r="L216" i="1" s="1"/>
  <c r="K215" i="1"/>
  <c r="L215" i="1" s="1"/>
  <c r="K214" i="1"/>
  <c r="L214" i="1" s="1"/>
  <c r="K213" i="1"/>
  <c r="L213" i="1" s="1"/>
  <c r="K212" i="1"/>
  <c r="L212" i="1" s="1"/>
  <c r="K211" i="1"/>
  <c r="L211" i="1" s="1"/>
  <c r="K210" i="1"/>
  <c r="L210" i="1" s="1"/>
  <c r="K209" i="1"/>
  <c r="L209" i="1" s="1"/>
  <c r="K208" i="1"/>
  <c r="L208" i="1" s="1"/>
  <c r="K207" i="1"/>
  <c r="L207" i="1" s="1"/>
  <c r="K206" i="1"/>
  <c r="L206" i="1" s="1"/>
  <c r="K205" i="1"/>
  <c r="L205" i="1" s="1"/>
  <c r="K204" i="1"/>
  <c r="L204" i="1" s="1"/>
  <c r="K203" i="1"/>
  <c r="L203" i="1" s="1"/>
  <c r="K202" i="1"/>
  <c r="L202" i="1" s="1"/>
  <c r="K201" i="1"/>
  <c r="L201" i="1" s="1"/>
  <c r="K200" i="1"/>
  <c r="L200" i="1" s="1"/>
  <c r="K199" i="1"/>
  <c r="L199" i="1" s="1"/>
  <c r="K198" i="1"/>
  <c r="L198" i="1" s="1"/>
  <c r="K197" i="1"/>
  <c r="L197" i="1" s="1"/>
  <c r="K196" i="1"/>
  <c r="L196" i="1" s="1"/>
  <c r="K195" i="1"/>
  <c r="L195" i="1" s="1"/>
  <c r="K194" i="1"/>
  <c r="L194" i="1" s="1"/>
  <c r="K193" i="1"/>
  <c r="L193" i="1" s="1"/>
  <c r="K192" i="1"/>
  <c r="L192" i="1" s="1"/>
  <c r="K191" i="1"/>
  <c r="L191" i="1" s="1"/>
  <c r="K190" i="1"/>
  <c r="L190" i="1" s="1"/>
  <c r="K189" i="1"/>
  <c r="L189" i="1" s="1"/>
  <c r="K188" i="1"/>
  <c r="L188" i="1" s="1"/>
  <c r="K187" i="1"/>
  <c r="L187" i="1" s="1"/>
  <c r="K186" i="1"/>
  <c r="L186" i="1" s="1"/>
  <c r="K185" i="1"/>
  <c r="L185" i="1" s="1"/>
  <c r="K184" i="1"/>
  <c r="L184" i="1" s="1"/>
  <c r="K183" i="1"/>
  <c r="L183" i="1" s="1"/>
  <c r="K182" i="1"/>
  <c r="L182" i="1" s="1"/>
  <c r="K181" i="1"/>
  <c r="L181" i="1" s="1"/>
  <c r="K180" i="1"/>
  <c r="L180" i="1" s="1"/>
  <c r="K179" i="1"/>
  <c r="L179" i="1" s="1"/>
  <c r="K178" i="1"/>
  <c r="L178" i="1" s="1"/>
  <c r="K177" i="1"/>
  <c r="L177" i="1" s="1"/>
  <c r="K176" i="1"/>
  <c r="L176" i="1" s="1"/>
  <c r="K175" i="1"/>
  <c r="L175" i="1" s="1"/>
  <c r="K174" i="1"/>
  <c r="L174" i="1" s="1"/>
  <c r="K173" i="1"/>
  <c r="L173" i="1" s="1"/>
  <c r="K172" i="1"/>
  <c r="L172" i="1" s="1"/>
  <c r="K171" i="1"/>
  <c r="L171" i="1" s="1"/>
  <c r="K170" i="1"/>
  <c r="L170" i="1" s="1"/>
  <c r="K169" i="1"/>
  <c r="L169" i="1" s="1"/>
  <c r="K168" i="1"/>
  <c r="L168" i="1" s="1"/>
  <c r="K167" i="1"/>
  <c r="L167" i="1" s="1"/>
  <c r="K166" i="1"/>
  <c r="L166" i="1" s="1"/>
  <c r="K165" i="1"/>
  <c r="L165" i="1" s="1"/>
  <c r="K164" i="1"/>
  <c r="L164" i="1" s="1"/>
  <c r="K163" i="1"/>
  <c r="L163" i="1" s="1"/>
  <c r="K162" i="1"/>
  <c r="L162" i="1" s="1"/>
  <c r="K161" i="1"/>
  <c r="L161" i="1" s="1"/>
  <c r="K160" i="1"/>
  <c r="L160" i="1" s="1"/>
  <c r="K159" i="1"/>
  <c r="L159" i="1" s="1"/>
  <c r="K158" i="1"/>
  <c r="L158" i="1" s="1"/>
  <c r="K157" i="1"/>
  <c r="L157" i="1" s="1"/>
  <c r="K156" i="1"/>
  <c r="K155" i="1"/>
  <c r="L155" i="1" s="1"/>
  <c r="K154" i="1"/>
  <c r="L154" i="1" s="1"/>
  <c r="K153" i="1"/>
  <c r="L153" i="1" s="1"/>
  <c r="K152" i="1"/>
  <c r="L152" i="1" s="1"/>
  <c r="K151" i="1"/>
  <c r="L151" i="1" s="1"/>
  <c r="K150" i="1"/>
  <c r="L150" i="1" s="1"/>
  <c r="K149" i="1"/>
  <c r="L149" i="1" s="1"/>
  <c r="K148" i="1"/>
  <c r="L148" i="1" s="1"/>
  <c r="K147" i="1"/>
  <c r="L147" i="1" s="1"/>
  <c r="K146" i="1"/>
  <c r="L146" i="1" s="1"/>
  <c r="K145" i="1"/>
  <c r="L145" i="1" s="1"/>
  <c r="K144" i="1"/>
  <c r="L144" i="1" s="1"/>
  <c r="K143" i="1"/>
  <c r="L143" i="1" s="1"/>
  <c r="K142" i="1"/>
  <c r="L142" i="1" s="1"/>
  <c r="K141" i="1"/>
  <c r="L141" i="1" s="1"/>
  <c r="K140" i="1"/>
  <c r="L140" i="1" s="1"/>
  <c r="K139" i="1"/>
  <c r="L139" i="1" s="1"/>
  <c r="K138" i="1"/>
  <c r="L138" i="1" s="1"/>
  <c r="K137" i="1"/>
  <c r="L137" i="1" s="1"/>
  <c r="K136" i="1"/>
  <c r="L136" i="1" s="1"/>
  <c r="K135" i="1"/>
  <c r="L135" i="1" s="1"/>
  <c r="K134" i="1"/>
  <c r="L134" i="1" s="1"/>
  <c r="K133" i="1"/>
  <c r="L133" i="1" s="1"/>
  <c r="K132" i="1"/>
  <c r="L132" i="1" s="1"/>
  <c r="K131" i="1"/>
  <c r="L131" i="1" s="1"/>
  <c r="K130" i="1"/>
  <c r="L130" i="1" s="1"/>
  <c r="K129" i="1"/>
  <c r="L129" i="1" s="1"/>
  <c r="K128" i="1"/>
  <c r="L128" i="1" s="1"/>
  <c r="K127" i="1"/>
  <c r="L127" i="1" s="1"/>
  <c r="K126" i="1"/>
  <c r="L126" i="1" s="1"/>
  <c r="K125" i="1"/>
  <c r="L125" i="1" s="1"/>
  <c r="K124" i="1"/>
  <c r="L124" i="1" s="1"/>
  <c r="K123" i="1"/>
  <c r="L123" i="1" s="1"/>
  <c r="K122" i="1"/>
  <c r="L122" i="1" s="1"/>
  <c r="K121" i="1"/>
  <c r="L121" i="1" s="1"/>
  <c r="K120" i="1"/>
  <c r="L120" i="1" s="1"/>
  <c r="K119" i="1"/>
  <c r="L119" i="1" s="1"/>
  <c r="K118" i="1"/>
  <c r="L118" i="1" s="1"/>
  <c r="K117" i="1"/>
  <c r="L117" i="1" s="1"/>
  <c r="K116" i="1"/>
  <c r="L116" i="1" s="1"/>
  <c r="K115" i="1"/>
  <c r="L115" i="1" s="1"/>
  <c r="K114" i="1"/>
  <c r="L114" i="1" s="1"/>
  <c r="L113" i="1"/>
  <c r="K113" i="1"/>
  <c r="K112" i="1"/>
  <c r="L112" i="1" s="1"/>
  <c r="K111" i="1"/>
  <c r="L111" i="1" s="1"/>
  <c r="K110" i="1"/>
  <c r="L110" i="1" s="1"/>
  <c r="K109" i="1"/>
  <c r="L109" i="1" s="1"/>
  <c r="K108" i="1"/>
  <c r="L108" i="1" s="1"/>
  <c r="K107" i="1"/>
  <c r="L107" i="1" s="1"/>
  <c r="K106" i="1"/>
  <c r="L106" i="1" s="1"/>
  <c r="K105" i="1"/>
  <c r="L105" i="1" s="1"/>
  <c r="K104" i="1"/>
  <c r="L104" i="1" s="1"/>
  <c r="K103" i="1"/>
  <c r="L103" i="1" s="1"/>
  <c r="K102" i="1"/>
  <c r="L102" i="1" s="1"/>
  <c r="K101" i="1"/>
  <c r="L101" i="1" s="1"/>
  <c r="K100" i="1"/>
  <c r="L100" i="1" s="1"/>
  <c r="K99" i="1"/>
  <c r="L99" i="1" s="1"/>
  <c r="K98" i="1"/>
  <c r="L98" i="1" s="1"/>
  <c r="K97" i="1"/>
  <c r="L97" i="1" s="1"/>
  <c r="K96" i="1"/>
  <c r="L96" i="1" s="1"/>
  <c r="K95" i="1"/>
  <c r="L95" i="1" s="1"/>
  <c r="K94" i="1"/>
  <c r="L94" i="1" s="1"/>
  <c r="K93" i="1"/>
  <c r="L93" i="1" s="1"/>
  <c r="K92" i="1"/>
  <c r="L92" i="1" s="1"/>
  <c r="K91" i="1"/>
  <c r="L91" i="1" s="1"/>
  <c r="K90" i="1"/>
  <c r="L90" i="1" s="1"/>
  <c r="K89" i="1"/>
  <c r="L89" i="1" s="1"/>
  <c r="K88" i="1"/>
  <c r="L88" i="1" s="1"/>
  <c r="L87" i="1"/>
  <c r="K87" i="1"/>
  <c r="K86" i="1"/>
  <c r="L86" i="1" s="1"/>
  <c r="K85" i="1"/>
  <c r="L85" i="1" s="1"/>
  <c r="K84" i="1"/>
  <c r="L84" i="1" s="1"/>
  <c r="K83" i="1"/>
  <c r="L83" i="1" s="1"/>
  <c r="K82" i="1"/>
  <c r="L82" i="1" s="1"/>
  <c r="K81" i="1"/>
  <c r="L81" i="1" s="1"/>
  <c r="K80" i="1"/>
  <c r="L80" i="1" s="1"/>
  <c r="K79" i="1"/>
  <c r="L79" i="1" s="1"/>
  <c r="K78" i="1"/>
  <c r="L78" i="1" s="1"/>
  <c r="K77" i="1"/>
  <c r="L77" i="1" s="1"/>
  <c r="K76" i="1"/>
  <c r="L76" i="1" s="1"/>
  <c r="K75" i="1"/>
  <c r="L75" i="1" s="1"/>
  <c r="K74" i="1"/>
  <c r="L74" i="1" s="1"/>
  <c r="K73" i="1"/>
  <c r="L73" i="1" s="1"/>
  <c r="K72" i="1"/>
  <c r="L72" i="1" s="1"/>
  <c r="K71" i="1"/>
  <c r="L71" i="1" s="1"/>
  <c r="K70" i="1"/>
  <c r="L70" i="1" s="1"/>
  <c r="K69" i="1"/>
  <c r="L69" i="1" s="1"/>
  <c r="K68" i="1"/>
  <c r="L68" i="1" s="1"/>
  <c r="K67" i="1"/>
  <c r="L67" i="1" s="1"/>
  <c r="K66" i="1"/>
  <c r="L66" i="1" s="1"/>
  <c r="K65" i="1"/>
  <c r="L65" i="1" s="1"/>
  <c r="K64" i="1"/>
  <c r="L64" i="1" s="1"/>
  <c r="K63" i="1"/>
  <c r="L63" i="1" s="1"/>
  <c r="K62" i="1"/>
  <c r="L62" i="1" s="1"/>
  <c r="K61" i="1"/>
  <c r="L61" i="1" s="1"/>
  <c r="K60" i="1"/>
  <c r="L60" i="1" s="1"/>
  <c r="K59" i="1"/>
  <c r="L59" i="1" s="1"/>
  <c r="K58" i="1"/>
  <c r="L58" i="1" s="1"/>
  <c r="K57" i="1"/>
  <c r="L57" i="1" s="1"/>
  <c r="K56" i="1"/>
  <c r="L56" i="1" s="1"/>
  <c r="K55" i="1"/>
  <c r="L55" i="1" s="1"/>
  <c r="K54" i="1"/>
  <c r="L54" i="1" s="1"/>
  <c r="K53" i="1"/>
  <c r="L53" i="1" s="1"/>
  <c r="K52" i="1"/>
  <c r="L52" i="1" s="1"/>
  <c r="K51" i="1"/>
  <c r="L51" i="1" s="1"/>
  <c r="K50" i="1"/>
  <c r="L50" i="1" s="1"/>
  <c r="K49" i="1"/>
  <c r="L49" i="1" s="1"/>
  <c r="K48" i="1"/>
  <c r="L48" i="1" s="1"/>
  <c r="K47" i="1"/>
  <c r="L47" i="1" s="1"/>
  <c r="K46" i="1"/>
  <c r="K45" i="1"/>
  <c r="L45" i="1" s="1"/>
  <c r="K44" i="1"/>
  <c r="L44" i="1" s="1"/>
  <c r="K43" i="1"/>
  <c r="L43" i="1" s="1"/>
  <c r="K42" i="1"/>
  <c r="L42" i="1" s="1"/>
  <c r="K41" i="1"/>
  <c r="L41" i="1" s="1"/>
  <c r="K40" i="1"/>
  <c r="L40" i="1" s="1"/>
  <c r="K39" i="1"/>
  <c r="L39" i="1" s="1"/>
  <c r="K38" i="1"/>
  <c r="L38" i="1" s="1"/>
  <c r="K37" i="1"/>
  <c r="L37" i="1" s="1"/>
  <c r="K36" i="1"/>
  <c r="L36" i="1" s="1"/>
  <c r="K35" i="1"/>
  <c r="L35" i="1" s="1"/>
  <c r="K34" i="1"/>
  <c r="L34" i="1" s="1"/>
  <c r="K33" i="1"/>
  <c r="L33" i="1" s="1"/>
  <c r="K32" i="1"/>
  <c r="L32" i="1" s="1"/>
  <c r="K31" i="1"/>
  <c r="L31" i="1" s="1"/>
  <c r="K30" i="1"/>
  <c r="K29" i="1"/>
  <c r="L29" i="1" s="1"/>
  <c r="K28" i="1"/>
  <c r="L28" i="1" s="1"/>
  <c r="K27" i="1"/>
  <c r="K26" i="1"/>
  <c r="L26" i="1" s="1"/>
  <c r="K25" i="1"/>
  <c r="L25" i="1" s="1"/>
  <c r="K24" i="1"/>
  <c r="L24" i="1" s="1"/>
  <c r="K23" i="1"/>
  <c r="L23" i="1" s="1"/>
  <c r="K22" i="1"/>
  <c r="L22" i="1" s="1"/>
  <c r="K21" i="1"/>
  <c r="L21" i="1" s="1"/>
  <c r="K20" i="1"/>
  <c r="L20" i="1" s="1"/>
  <c r="K19" i="1"/>
  <c r="L19" i="1" s="1"/>
  <c r="K18" i="1"/>
  <c r="L18" i="1" s="1"/>
  <c r="K17" i="1"/>
  <c r="L17" i="1" s="1"/>
  <c r="K16" i="1"/>
  <c r="L16" i="1" s="1"/>
  <c r="K15" i="1"/>
  <c r="L15" i="1" s="1"/>
  <c r="K14" i="1"/>
  <c r="K13" i="1"/>
  <c r="K12" i="1"/>
  <c r="L12" i="1" s="1"/>
  <c r="K11" i="1"/>
  <c r="K10" i="1"/>
  <c r="L10" i="1" s="1"/>
  <c r="K9" i="1"/>
  <c r="L9" i="1" s="1"/>
  <c r="K8" i="1"/>
  <c r="L8" i="1" s="1"/>
  <c r="K7" i="1"/>
  <c r="L7" i="1" s="1"/>
  <c r="K6" i="1"/>
  <c r="L6" i="1" s="1"/>
  <c r="K5" i="1"/>
  <c r="K4" i="1"/>
  <c r="K3" i="1"/>
  <c r="K2" i="1"/>
  <c r="L2" i="1" s="1"/>
  <c r="C9" i="2" l="1"/>
  <c r="B9" i="3"/>
  <c r="E9" i="4"/>
  <c r="D9" i="3"/>
  <c r="E3" i="4"/>
  <c r="C9" i="3"/>
  <c r="F5" i="3"/>
  <c r="L156" i="1"/>
  <c r="F5" i="2"/>
  <c r="E10" i="4"/>
  <c r="E6" i="2"/>
  <c r="F4" i="4"/>
  <c r="E6" i="3"/>
  <c r="F7" i="4"/>
  <c r="E8" i="4"/>
  <c r="L46" i="1"/>
  <c r="F8" i="4" s="1"/>
  <c r="E5" i="2"/>
  <c r="E4" i="2"/>
  <c r="L11" i="1"/>
  <c r="L30" i="1"/>
  <c r="L3" i="1"/>
  <c r="E3" i="2"/>
  <c r="E7" i="2"/>
  <c r="E5" i="4"/>
  <c r="L4" i="1"/>
  <c r="L13" i="1"/>
  <c r="F7" i="2" s="1"/>
  <c r="E3" i="3"/>
  <c r="E4" i="3"/>
  <c r="E6" i="4"/>
  <c r="L5" i="1"/>
  <c r="L14" i="1"/>
  <c r="F6" i="4" s="1"/>
  <c r="E7" i="4"/>
  <c r="E4" i="4"/>
  <c r="D9" i="2"/>
  <c r="B12" i="4"/>
  <c r="E7" i="3"/>
  <c r="C12" i="4"/>
  <c r="E5" i="3"/>
  <c r="L27" i="1"/>
  <c r="D12" i="4"/>
  <c r="E9" i="3" l="1"/>
  <c r="F7" i="3"/>
  <c r="E12" i="4"/>
  <c r="F4" i="3"/>
  <c r="F9" i="4"/>
  <c r="F4" i="2"/>
  <c r="E9" i="2"/>
  <c r="F6" i="2"/>
  <c r="F3" i="3"/>
  <c r="F3" i="4"/>
  <c r="F10" i="4"/>
  <c r="F3" i="2"/>
  <c r="F9" i="2" s="1"/>
  <c r="F5" i="4"/>
  <c r="F6" i="3"/>
  <c r="F12" i="4" l="1"/>
  <c r="F9" i="3"/>
</calcChain>
</file>

<file path=xl/sharedStrings.xml><?xml version="1.0" encoding="utf-8"?>
<sst xmlns="http://schemas.openxmlformats.org/spreadsheetml/2006/main" count="2603" uniqueCount="553">
  <si>
    <t>S.No</t>
  </si>
  <si>
    <t>Industry</t>
  </si>
  <si>
    <t>Web Series Name</t>
  </si>
  <si>
    <t>Genre</t>
  </si>
  <si>
    <t>Rating
(1-5)</t>
  </si>
  <si>
    <t>Review</t>
  </si>
  <si>
    <t>Platform</t>
  </si>
  <si>
    <t>Viewers
(Millions)</t>
  </si>
  <si>
    <t>Price Per
Viewer (₹)</t>
  </si>
  <si>
    <t>Total Sales
(₹ Crore)</t>
  </si>
  <si>
    <t>Profit
(₹ Crore)</t>
  </si>
  <si>
    <t>Tollywood</t>
  </si>
  <si>
    <t>The Family Man</t>
  </si>
  <si>
    <t>Action</t>
  </si>
  <si>
    <t>Good</t>
  </si>
  <si>
    <t>Hotstar</t>
  </si>
  <si>
    <t>Chinese</t>
  </si>
  <si>
    <t>The Rise of Phoenixes</t>
  </si>
  <si>
    <t>Must Watch</t>
  </si>
  <si>
    <t>Netflix</t>
  </si>
  <si>
    <t>Bollywood</t>
  </si>
  <si>
    <t>Tandav</t>
  </si>
  <si>
    <t>Comedy</t>
  </si>
  <si>
    <t>Poor</t>
  </si>
  <si>
    <t>SonyLIV</t>
  </si>
  <si>
    <t>Farhana</t>
  </si>
  <si>
    <t>Horror</t>
  </si>
  <si>
    <t>Amazon Prime</t>
  </si>
  <si>
    <t>Grahan</t>
  </si>
  <si>
    <t>Crime</t>
  </si>
  <si>
    <t>Kaala Paani</t>
  </si>
  <si>
    <t>Hollywood</t>
  </si>
  <si>
    <t>Downton Abbey</t>
  </si>
  <si>
    <t>Fantasy</t>
  </si>
  <si>
    <t>Average</t>
  </si>
  <si>
    <t>The Office</t>
  </si>
  <si>
    <t>Thriller</t>
  </si>
  <si>
    <t>Feels Like Ishq</t>
  </si>
  <si>
    <t>Seinfeld</t>
  </si>
  <si>
    <t>Arsenal Military Academy</t>
  </si>
  <si>
    <t>Japanese</t>
  </si>
  <si>
    <t>Giri/Haji</t>
  </si>
  <si>
    <t>Special Ops</t>
  </si>
  <si>
    <t>Succession</t>
  </si>
  <si>
    <t>Drama</t>
  </si>
  <si>
    <t>Hospital Playlist</t>
  </si>
  <si>
    <t>Romance</t>
  </si>
  <si>
    <t>Longest Day in Chang'an</t>
  </si>
  <si>
    <t>JioCinema</t>
  </si>
  <si>
    <t>Navarasa</t>
  </si>
  <si>
    <t>Mindhunter</t>
  </si>
  <si>
    <t>Abbott Elementary</t>
  </si>
  <si>
    <t>Giri/Haji S2</t>
  </si>
  <si>
    <t>Suits</t>
  </si>
  <si>
    <t>Black Mirror</t>
  </si>
  <si>
    <t>Ancient Love Poetry</t>
  </si>
  <si>
    <t>Crash Course</t>
  </si>
  <si>
    <t>Itaewon Class</t>
  </si>
  <si>
    <t>Vikings</t>
  </si>
  <si>
    <t>How I Met Your Mother</t>
  </si>
  <si>
    <t>The Tudors</t>
  </si>
  <si>
    <t>Dark</t>
  </si>
  <si>
    <t>Porinju Mariam Jose</t>
  </si>
  <si>
    <t>Kana Kaanum Kaalangal</t>
  </si>
  <si>
    <t>Westworld</t>
  </si>
  <si>
    <t>Tandav S2</t>
  </si>
  <si>
    <t>The Good Place</t>
  </si>
  <si>
    <t>Kota Factory</t>
  </si>
  <si>
    <t>Followers</t>
  </si>
  <si>
    <t>Maharani</t>
  </si>
  <si>
    <t>Wednesday</t>
  </si>
  <si>
    <t>Oh My Kadavule</t>
  </si>
  <si>
    <t>Arsenal Military Academy S2</t>
  </si>
  <si>
    <t>Hawkeye</t>
  </si>
  <si>
    <t>Nenjam Marappathillai</t>
  </si>
  <si>
    <t>Thaen</t>
  </si>
  <si>
    <t>Doctors</t>
  </si>
  <si>
    <t>KD</t>
  </si>
  <si>
    <t>Nenjam Marappathillai S2</t>
  </si>
  <si>
    <t>Downton Abbey S2</t>
  </si>
  <si>
    <t>Gargi</t>
  </si>
  <si>
    <t>Thaen S2</t>
  </si>
  <si>
    <t>Loot</t>
  </si>
  <si>
    <t>Feels Like Ishq S2</t>
  </si>
  <si>
    <t>Followers S2</t>
  </si>
  <si>
    <t>The Bear</t>
  </si>
  <si>
    <t>Khakee</t>
  </si>
  <si>
    <t>Suits S2</t>
  </si>
  <si>
    <t>Lost</t>
  </si>
  <si>
    <t>Iraivan</t>
  </si>
  <si>
    <t>Gargi S2</t>
  </si>
  <si>
    <t>Love O2O</t>
  </si>
  <si>
    <t>The Family Man S2</t>
  </si>
  <si>
    <t>Ashes of Love</t>
  </si>
  <si>
    <t>TVF Pitchers</t>
  </si>
  <si>
    <t>November Story</t>
  </si>
  <si>
    <t>TVF Pitchers S2</t>
  </si>
  <si>
    <t>Rocket Boys</t>
  </si>
  <si>
    <t>WandaVision</t>
  </si>
  <si>
    <t>November Story S2</t>
  </si>
  <si>
    <t>Novoland Eagle Flag</t>
  </si>
  <si>
    <t>Doreiku</t>
  </si>
  <si>
    <t>Delhi Crime</t>
  </si>
  <si>
    <t>Million Yen Women</t>
  </si>
  <si>
    <t>Outlander</t>
  </si>
  <si>
    <t>Sweet Combat</t>
  </si>
  <si>
    <t>Doctors S2</t>
  </si>
  <si>
    <t>Doctors S3</t>
  </si>
  <si>
    <t>Thaen S3</t>
  </si>
  <si>
    <t>Dark S2</t>
  </si>
  <si>
    <t>Rings of Power</t>
  </si>
  <si>
    <t>Soorarai Pottru</t>
  </si>
  <si>
    <t>Jamtara</t>
  </si>
  <si>
    <t>Trial By Fire</t>
  </si>
  <si>
    <t>Signal</t>
  </si>
  <si>
    <t>24</t>
  </si>
  <si>
    <t>Meteor Garden</t>
  </si>
  <si>
    <t>Doreiku S2</t>
  </si>
  <si>
    <t>A Love So Beautiful</t>
  </si>
  <si>
    <t>Tabbar</t>
  </si>
  <si>
    <t>B: The Beginning</t>
  </si>
  <si>
    <t>Delhi Crime S2</t>
  </si>
  <si>
    <t>Undekhi</t>
  </si>
  <si>
    <t>Mudhal Nee Mudivum Nee</t>
  </si>
  <si>
    <t>Invincible</t>
  </si>
  <si>
    <t>Rings of Power S2</t>
  </si>
  <si>
    <t>Porinju Mariam Jose S2</t>
  </si>
  <si>
    <t>Bard of Blood</t>
  </si>
  <si>
    <t>Aspirants</t>
  </si>
  <si>
    <t>Itaewon Class S2</t>
  </si>
  <si>
    <t>The Story of Ming Lan</t>
  </si>
  <si>
    <t>Farhana S2</t>
  </si>
  <si>
    <t>The Tudors S2</t>
  </si>
  <si>
    <t>Ashes of Love S2</t>
  </si>
  <si>
    <t>Wednesday S2</t>
  </si>
  <si>
    <t>The Story of Ming Lan S2</t>
  </si>
  <si>
    <t>Khakee S2</t>
  </si>
  <si>
    <t>The Office S2</t>
  </si>
  <si>
    <t>Vadhandhi</t>
  </si>
  <si>
    <t>Ancient Love Poetry S2</t>
  </si>
  <si>
    <t>Mandela</t>
  </si>
  <si>
    <t>Rings of Power S3</t>
  </si>
  <si>
    <t>Special Ops S2</t>
  </si>
  <si>
    <t>The Bad Kids</t>
  </si>
  <si>
    <t>Scam 1992</t>
  </si>
  <si>
    <t>Kota Factory S2</t>
  </si>
  <si>
    <t>A Love So Beautiful S2</t>
  </si>
  <si>
    <t>Erased</t>
  </si>
  <si>
    <t>Ultraman</t>
  </si>
  <si>
    <t>Kaamathenu</t>
  </si>
  <si>
    <t>Tooth Pari</t>
  </si>
  <si>
    <t>Money Heist</t>
  </si>
  <si>
    <t>Maharani S2</t>
  </si>
  <si>
    <t>Squid Game</t>
  </si>
  <si>
    <t>Kengan Ashura</t>
  </si>
  <si>
    <t>Sherlock</t>
  </si>
  <si>
    <t>Big Bang Theory</t>
  </si>
  <si>
    <t>Joy of Life</t>
  </si>
  <si>
    <t>Altered Carbon</t>
  </si>
  <si>
    <t>Wednesday S3</t>
  </si>
  <si>
    <t>Triples</t>
  </si>
  <si>
    <t>Seinfeld S2</t>
  </si>
  <si>
    <t>Bridgerton</t>
  </si>
  <si>
    <t>Kota Factory S3</t>
  </si>
  <si>
    <t>Crash Course S2</t>
  </si>
  <si>
    <t>Crash Landing on You</t>
  </si>
  <si>
    <t>Stranger Things</t>
  </si>
  <si>
    <t>Abhay</t>
  </si>
  <si>
    <t>Andor</t>
  </si>
  <si>
    <t>Ozark</t>
  </si>
  <si>
    <t>Arsenal Military Academy S3</t>
  </si>
  <si>
    <t>Erased S2</t>
  </si>
  <si>
    <t>Aarya</t>
  </si>
  <si>
    <t>Atelier</t>
  </si>
  <si>
    <t>Kota Factory S4</t>
  </si>
  <si>
    <t>Iravaakaalam</t>
  </si>
  <si>
    <t>Penguin</t>
  </si>
  <si>
    <t>Kumbalangi Nights</t>
  </si>
  <si>
    <t>Princess Silver</t>
  </si>
  <si>
    <t>Prison Break</t>
  </si>
  <si>
    <t>Dark S3</t>
  </si>
  <si>
    <t>Erased S3</t>
  </si>
  <si>
    <t>WandaVision S2</t>
  </si>
  <si>
    <t>November Story S3</t>
  </si>
  <si>
    <t>Terrace House</t>
  </si>
  <si>
    <t>Altered Carbon S2</t>
  </si>
  <si>
    <t>You Are My Glory</t>
  </si>
  <si>
    <t>The Makanai</t>
  </si>
  <si>
    <t>Frasier</t>
  </si>
  <si>
    <t>Crash Course S3</t>
  </si>
  <si>
    <t>Midnight Diner</t>
  </si>
  <si>
    <t>Inside Edge</t>
  </si>
  <si>
    <t>Kaamathenu S2</t>
  </si>
  <si>
    <t>Lost S2</t>
  </si>
  <si>
    <t>Lost S3</t>
  </si>
  <si>
    <t>24 S2</t>
  </si>
  <si>
    <t>Meteor Garden S2</t>
  </si>
  <si>
    <t>Ozark S2</t>
  </si>
  <si>
    <t>Nenjam Marappathillai S3</t>
  </si>
  <si>
    <t>Money Heist S2</t>
  </si>
  <si>
    <t>Novoland Eagle Flag S2</t>
  </si>
  <si>
    <t>Accidentally in Love</t>
  </si>
  <si>
    <t>Mindhunter S2</t>
  </si>
  <si>
    <t>House of Cards</t>
  </si>
  <si>
    <t>Move to Heaven</t>
  </si>
  <si>
    <t>Jamtara S2</t>
  </si>
  <si>
    <t>Special Ops S3</t>
  </si>
  <si>
    <t>Delhi Crime S3</t>
  </si>
  <si>
    <t>Seinfeld S3</t>
  </si>
  <si>
    <t>Tooth Pari S2</t>
  </si>
  <si>
    <t>Arsenal Military Academy S4</t>
  </si>
  <si>
    <t>Crash Landing on You S2</t>
  </si>
  <si>
    <t>The Mandalorian</t>
  </si>
  <si>
    <t>Iraivan S2</t>
  </si>
  <si>
    <t>The Boys</t>
  </si>
  <si>
    <t>First Love</t>
  </si>
  <si>
    <t>First Love S2</t>
  </si>
  <si>
    <t>Human</t>
  </si>
  <si>
    <t>Delhi Crime S4</t>
  </si>
  <si>
    <t>Ultraman S2</t>
  </si>
  <si>
    <t>Maharani S3</t>
  </si>
  <si>
    <t>Big Bang Theory S2</t>
  </si>
  <si>
    <t>The Rise of Phoenixes S2</t>
  </si>
  <si>
    <t>Black Mirror S2</t>
  </si>
  <si>
    <t>Rings of Power S4</t>
  </si>
  <si>
    <t>Erased S4</t>
  </si>
  <si>
    <t>Vadhandhi S2</t>
  </si>
  <si>
    <t>Euphoria</t>
  </si>
  <si>
    <t>Jubilee</t>
  </si>
  <si>
    <t>Loot S2</t>
  </si>
  <si>
    <t>Invincible S2</t>
  </si>
  <si>
    <t>Crash Landing on You S3</t>
  </si>
  <si>
    <t>Big Bang Theory S3</t>
  </si>
  <si>
    <t>Rings of Power S5</t>
  </si>
  <si>
    <t>Nirvana in Fire</t>
  </si>
  <si>
    <t>Reply 1988</t>
  </si>
  <si>
    <t>The Mandalorian S2</t>
  </si>
  <si>
    <t>Crash Landing on You S4</t>
  </si>
  <si>
    <t>Tooth Pari S3</t>
  </si>
  <si>
    <t>Rocket Boys S2</t>
  </si>
  <si>
    <t>Hawkeye S2</t>
  </si>
  <si>
    <t>Queen</t>
  </si>
  <si>
    <t>Doctors S4</t>
  </si>
  <si>
    <t>Ashes of Love S3</t>
  </si>
  <si>
    <t>Giri/Haji S3</t>
  </si>
  <si>
    <t>Money Heist S3</t>
  </si>
  <si>
    <t>Kengan Ashura S2</t>
  </si>
  <si>
    <t>Ashes of Love S4</t>
  </si>
  <si>
    <t>The Bear S2</t>
  </si>
  <si>
    <t>Ju-On Origins</t>
  </si>
  <si>
    <t>Signal S2</t>
  </si>
  <si>
    <t>Panchayat</t>
  </si>
  <si>
    <t>Dexter</t>
  </si>
  <si>
    <t>Hometown Cha-Cha-Cha</t>
  </si>
  <si>
    <t>Grahan S2</t>
  </si>
  <si>
    <t>Sweet Combat S2</t>
  </si>
  <si>
    <t>Guns &amp; Gulaabs</t>
  </si>
  <si>
    <t>Move to Heaven S2</t>
  </si>
  <si>
    <t>Adhura</t>
  </si>
  <si>
    <t>Dexter S2</t>
  </si>
  <si>
    <t>Mandela S2</t>
  </si>
  <si>
    <t>The Naked Director</t>
  </si>
  <si>
    <t>B: The Beginning S2</t>
  </si>
  <si>
    <t>You Are My Glory S2</t>
  </si>
  <si>
    <t>House of Cards S2</t>
  </si>
  <si>
    <t>Vincenzo</t>
  </si>
  <si>
    <t>Crash Course S4</t>
  </si>
  <si>
    <t>Ashes of Love S5</t>
  </si>
  <si>
    <t>Kohrra</t>
  </si>
  <si>
    <t>All of Us Are Dead</t>
  </si>
  <si>
    <t>Mudhal Nee Mudivum Nee S2</t>
  </si>
  <si>
    <t>How I Met Your Mother S2</t>
  </si>
  <si>
    <t>You Are My Glory S3</t>
  </si>
  <si>
    <t>Hostages</t>
  </si>
  <si>
    <t>Sacred Games</t>
  </si>
  <si>
    <t>Ozark S3</t>
  </si>
  <si>
    <t>Reign</t>
  </si>
  <si>
    <t>Big Bang Theory S4</t>
  </si>
  <si>
    <t>College Romance</t>
  </si>
  <si>
    <t>Crash Landing on You S5</t>
  </si>
  <si>
    <t>Veyil</t>
  </si>
  <si>
    <t>Kana Kaanum Kaalangal S2</t>
  </si>
  <si>
    <t>The Office S3</t>
  </si>
  <si>
    <t>Terrace House S2</t>
  </si>
  <si>
    <t>Erased S5</t>
  </si>
  <si>
    <t>Hometown Cha-Cha-Cha S2</t>
  </si>
  <si>
    <t>All of Us Are Dead S2</t>
  </si>
  <si>
    <t>Tooth Pari S4</t>
  </si>
  <si>
    <t>Frasier S2</t>
  </si>
  <si>
    <t>Ultraman S3</t>
  </si>
  <si>
    <t>Porinju Mariam Jose S3</t>
  </si>
  <si>
    <t>House of Cards S3</t>
  </si>
  <si>
    <t>The Family Man S3</t>
  </si>
  <si>
    <t>Doctors S5</t>
  </si>
  <si>
    <t>Guns &amp; Gulaabs S2</t>
  </si>
  <si>
    <t>Loki</t>
  </si>
  <si>
    <t>Scam 1992 S2</t>
  </si>
  <si>
    <t>You Are My Glory S4</t>
  </si>
  <si>
    <t>B: The Beginning S3</t>
  </si>
  <si>
    <t>Eternal Love</t>
  </si>
  <si>
    <t>Go Princess Go</t>
  </si>
  <si>
    <t>Bard of Blood S2</t>
  </si>
  <si>
    <t>Pariyerum Perumal</t>
  </si>
  <si>
    <t>Word of Honor</t>
  </si>
  <si>
    <t>Thaen S4</t>
  </si>
  <si>
    <t>Go Ahead</t>
  </si>
  <si>
    <t>Kaala Paani S2</t>
  </si>
  <si>
    <t>Altered Carbon S3</t>
  </si>
  <si>
    <t>Breaking Bad</t>
  </si>
  <si>
    <t>Brooklyn Nine-Nine</t>
  </si>
  <si>
    <t>Narcos</t>
  </si>
  <si>
    <t>The Story of Ming Lan S3</t>
  </si>
  <si>
    <t>Pathu Thala</t>
  </si>
  <si>
    <t>Kohrra S2</t>
  </si>
  <si>
    <t>The Crown</t>
  </si>
  <si>
    <t>Ice Fantasy</t>
  </si>
  <si>
    <t>Ashes of Love S6</t>
  </si>
  <si>
    <t>Ice Fantasy S2</t>
  </si>
  <si>
    <t>Go Princess Go S2</t>
  </si>
  <si>
    <t>Human S2</t>
  </si>
  <si>
    <t>Succession S2</t>
  </si>
  <si>
    <t>Emily in Paris</t>
  </si>
  <si>
    <t>Bard of Blood S3</t>
  </si>
  <si>
    <t>Khakee S3</t>
  </si>
  <si>
    <t>Succession S3</t>
  </si>
  <si>
    <t>Reply 1988 S2</t>
  </si>
  <si>
    <t>The Bear S3</t>
  </si>
  <si>
    <t>Crash Course S5</t>
  </si>
  <si>
    <t>Doreiku S3</t>
  </si>
  <si>
    <t>Ten Miles of Peach Blossoms</t>
  </si>
  <si>
    <t>November Story S4</t>
  </si>
  <si>
    <t>Bard of Blood S4</t>
  </si>
  <si>
    <t>Nenjam Marappathillai S4</t>
  </si>
  <si>
    <t>9</t>
  </si>
  <si>
    <t>Go Ahead S2</t>
  </si>
  <si>
    <t>Sherlock S2</t>
  </si>
  <si>
    <t>Tooth Pari S5</t>
  </si>
  <si>
    <t>The Boys S2</t>
  </si>
  <si>
    <t>Aarya S2</t>
  </si>
  <si>
    <t>Invincible S3</t>
  </si>
  <si>
    <t>Jamtara S3</t>
  </si>
  <si>
    <t>Suits S3</t>
  </si>
  <si>
    <t>Altered Carbon S4</t>
  </si>
  <si>
    <t>Arya</t>
  </si>
  <si>
    <t>Reign S2</t>
  </si>
  <si>
    <t>Love O2O S2</t>
  </si>
  <si>
    <t>Terrace House S3</t>
  </si>
  <si>
    <t>Nothing But Thirty</t>
  </si>
  <si>
    <t>Obi-Wan Kenobi</t>
  </si>
  <si>
    <t>The Family Man S4</t>
  </si>
  <si>
    <t>Abhay S2</t>
  </si>
  <si>
    <t>Westworld S2</t>
  </si>
  <si>
    <t>Tooth Pari S6</t>
  </si>
  <si>
    <t>Altered Carbon S5</t>
  </si>
  <si>
    <t>Vincenzo S2</t>
  </si>
  <si>
    <t>Maharani S4</t>
  </si>
  <si>
    <t>Followers S3</t>
  </si>
  <si>
    <t>Hostages S2</t>
  </si>
  <si>
    <t>Game of Thrones</t>
  </si>
  <si>
    <t>Samurai Gourmet</t>
  </si>
  <si>
    <t>Giri/Haji S4</t>
  </si>
  <si>
    <t>Hometown Cha-Cha-Cha S3</t>
  </si>
  <si>
    <t>Suits S4</t>
  </si>
  <si>
    <t>Put Your Head on My Shoulder</t>
  </si>
  <si>
    <t>Sanctuary</t>
  </si>
  <si>
    <t>Rudra</t>
  </si>
  <si>
    <t>Tabbar S2</t>
  </si>
  <si>
    <t>House of Cards S4</t>
  </si>
  <si>
    <t>Ratsasan</t>
  </si>
  <si>
    <t>House of Cards S5</t>
  </si>
  <si>
    <t>Dark S4</t>
  </si>
  <si>
    <t>Word of Honor S2</t>
  </si>
  <si>
    <t>Emily in Paris S2</t>
  </si>
  <si>
    <t>Emily in Paris S3</t>
  </si>
  <si>
    <t>Special Ops S4</t>
  </si>
  <si>
    <t>Downton Abbey S3</t>
  </si>
  <si>
    <t>Kengan Ashura S3</t>
  </si>
  <si>
    <t>Samurai Gourmet S2</t>
  </si>
  <si>
    <t>Reply 1988 S3</t>
  </si>
  <si>
    <t>Breathe</t>
  </si>
  <si>
    <t>Aarya 2</t>
  </si>
  <si>
    <t>Guns &amp; Gulaabs S3</t>
  </si>
  <si>
    <t>Guns &amp; Gulaabs S4</t>
  </si>
  <si>
    <t>Vikings S2</t>
  </si>
  <si>
    <t>Reign S3</t>
  </si>
  <si>
    <t>Scam 1992 S3</t>
  </si>
  <si>
    <t>The Bad Kids S2</t>
  </si>
  <si>
    <t>Vincenzo S3</t>
  </si>
  <si>
    <t>Downton Abbey S4</t>
  </si>
  <si>
    <t>24 S3</t>
  </si>
  <si>
    <t>Wednesday S4</t>
  </si>
  <si>
    <t>Prison Break S2</t>
  </si>
  <si>
    <t>Thaen S5</t>
  </si>
  <si>
    <t>Big Bang Theory S5</t>
  </si>
  <si>
    <t>Erased S6</t>
  </si>
  <si>
    <t>Iraivan S3</t>
  </si>
  <si>
    <t>Giri/Haji S5</t>
  </si>
  <si>
    <t>Reply 1988 S4</t>
  </si>
  <si>
    <t>Panchayat S2</t>
  </si>
  <si>
    <t>Brooklyn Nine-Nine S2</t>
  </si>
  <si>
    <t>Mindhunter S3</t>
  </si>
  <si>
    <t>Black Mirror S3</t>
  </si>
  <si>
    <t>Outlander S2</t>
  </si>
  <si>
    <t>The Story of Ming Lan S4</t>
  </si>
  <si>
    <t>The Story of Ming Lan S5</t>
  </si>
  <si>
    <t>Go Princess Go S3</t>
  </si>
  <si>
    <t>Ice Fantasy S3</t>
  </si>
  <si>
    <t>Lost S4</t>
  </si>
  <si>
    <t>Escaype Live</t>
  </si>
  <si>
    <t>Aspirants S2</t>
  </si>
  <si>
    <t>Penguin S2</t>
  </si>
  <si>
    <t>Parks and Recreation</t>
  </si>
  <si>
    <t>Pariyerum Perumal S2</t>
  </si>
  <si>
    <t>Sanctuary S2</t>
  </si>
  <si>
    <t>November Story S5</t>
  </si>
  <si>
    <t>Tabbar S3</t>
  </si>
  <si>
    <t>9 S2</t>
  </si>
  <si>
    <t>Nirvana in Fire S2</t>
  </si>
  <si>
    <t>B: The Beginning S4</t>
  </si>
  <si>
    <t>Parks and Recreation S2</t>
  </si>
  <si>
    <t>Joy of Life S2</t>
  </si>
  <si>
    <t>Move to Heaven S3</t>
  </si>
  <si>
    <t>Porinju Mariam Jose S4</t>
  </si>
  <si>
    <t>Sanctuary S3</t>
  </si>
  <si>
    <t>Succession S4</t>
  </si>
  <si>
    <t>Doctors S6</t>
  </si>
  <si>
    <t>The Naked Director S2</t>
  </si>
  <si>
    <t>Million Yen Women S2</t>
  </si>
  <si>
    <t>The Tudors S3</t>
  </si>
  <si>
    <t>Kota Factory S5</t>
  </si>
  <si>
    <t>Go Ahead S3</t>
  </si>
  <si>
    <t>Big Bang Theory S6</t>
  </si>
  <si>
    <t>Aspirants S3</t>
  </si>
  <si>
    <t>Downton Abbey S5</t>
  </si>
  <si>
    <t>Well-Intended Love</t>
  </si>
  <si>
    <t>Samurai Gourmet S3</t>
  </si>
  <si>
    <t>Mandela S3</t>
  </si>
  <si>
    <t>Joy of Life S3</t>
  </si>
  <si>
    <t>Panchayat S3</t>
  </si>
  <si>
    <t>Veyil S2</t>
  </si>
  <si>
    <t>Ratsasan S2</t>
  </si>
  <si>
    <t>Thaen S6</t>
  </si>
  <si>
    <t>Lost S5</t>
  </si>
  <si>
    <t>Bridgerton S2</t>
  </si>
  <si>
    <t>Ultraman S4</t>
  </si>
  <si>
    <t>Kengan Ashura S4</t>
  </si>
  <si>
    <t>TVF Pitchers S3</t>
  </si>
  <si>
    <t>Followers S4</t>
  </si>
  <si>
    <t>All of Us Are Dead S3</t>
  </si>
  <si>
    <t>Ratsasan S3</t>
  </si>
  <si>
    <t>Story of Yanxi Palace</t>
  </si>
  <si>
    <t>Mandela S4</t>
  </si>
  <si>
    <t>The Rise of Phoenixes S3</t>
  </si>
  <si>
    <t>Crash Course S6</t>
  </si>
  <si>
    <t>Hostages S3</t>
  </si>
  <si>
    <t>Go Princess Go S4</t>
  </si>
  <si>
    <t>Escaype Live S2</t>
  </si>
  <si>
    <t>The Tudors S4</t>
  </si>
  <si>
    <t>Pariyerum Perumal S3</t>
  </si>
  <si>
    <t>The Last of Us</t>
  </si>
  <si>
    <t>Emily in Paris S4</t>
  </si>
  <si>
    <t>All of Us Are Dead S4</t>
  </si>
  <si>
    <t>Mandela S5</t>
  </si>
  <si>
    <t>24 S4</t>
  </si>
  <si>
    <t>Aspirants S4</t>
  </si>
  <si>
    <t>Big Bang Theory S7</t>
  </si>
  <si>
    <t>Special Ops S5</t>
  </si>
  <si>
    <t>Friends</t>
  </si>
  <si>
    <t>Loki S2</t>
  </si>
  <si>
    <t>The Story of Ming Lan S6</t>
  </si>
  <si>
    <t>Rudra S2</t>
  </si>
  <si>
    <t>Doctors S7</t>
  </si>
  <si>
    <t>Ratsasan S4</t>
  </si>
  <si>
    <t>Game of Thrones S2</t>
  </si>
  <si>
    <t>Thaen S7</t>
  </si>
  <si>
    <t>Hospital Playlist S2</t>
  </si>
  <si>
    <t>Kana Kaanum Kaalangal S3</t>
  </si>
  <si>
    <t>Hostages S4</t>
  </si>
  <si>
    <t>Money Heist S4</t>
  </si>
  <si>
    <t>Alice in Borderland</t>
  </si>
  <si>
    <t>My Mister</t>
  </si>
  <si>
    <t>Mithya</t>
  </si>
  <si>
    <t>A Love So Beautiful S3</t>
  </si>
  <si>
    <t>Inside Edge S2</t>
  </si>
  <si>
    <t>Tabbar S4</t>
  </si>
  <si>
    <t>Terrace House S4</t>
  </si>
  <si>
    <t>Navarasa S2</t>
  </si>
  <si>
    <t>Hometown Cha-Cha-Cha S4</t>
  </si>
  <si>
    <t>Arsenal Military Academy S5</t>
  </si>
  <si>
    <t>Special Ops S6</t>
  </si>
  <si>
    <t>Arsenal Military Academy S6</t>
  </si>
  <si>
    <t>Doctors S8</t>
  </si>
  <si>
    <t>Tooth Pari S7</t>
  </si>
  <si>
    <t>Erased S7</t>
  </si>
  <si>
    <t>Accidentally in Love S2</t>
  </si>
  <si>
    <t>Iraivan S4</t>
  </si>
  <si>
    <t>Dark S5</t>
  </si>
  <si>
    <t>Brooklyn Nine-Nine S3</t>
  </si>
  <si>
    <t>Scam 1992 S4</t>
  </si>
  <si>
    <t>Dexter S3</t>
  </si>
  <si>
    <t>Atelier S2</t>
  </si>
  <si>
    <t>Sweet Combat S3</t>
  </si>
  <si>
    <t>Black Mirror S4</t>
  </si>
  <si>
    <t>A Love So Beautiful S4</t>
  </si>
  <si>
    <t>Crash Course S7</t>
  </si>
  <si>
    <t>Suits S5</t>
  </si>
  <si>
    <t>Escaype Live S3</t>
  </si>
  <si>
    <t>Downton Abbey S6</t>
  </si>
  <si>
    <t>Lost S6</t>
  </si>
  <si>
    <t>Nenjam Marappathillai S5</t>
  </si>
  <si>
    <t>Trial By Fire S2</t>
  </si>
  <si>
    <t>Trial By Fire S3</t>
  </si>
  <si>
    <t>TVF Pitchers S4</t>
  </si>
  <si>
    <t>Adhura S2</t>
  </si>
  <si>
    <t>Westworld S3</t>
  </si>
  <si>
    <t>Rings of Power S6</t>
  </si>
  <si>
    <t>Guns &amp; Gulaabs S5</t>
  </si>
  <si>
    <t>Game of Thrones S3</t>
  </si>
  <si>
    <t>Million Yen Women S3</t>
  </si>
  <si>
    <t>Crash Landing on You S6</t>
  </si>
  <si>
    <t>Nirvana in Fire S3</t>
  </si>
  <si>
    <t>Flesh</t>
  </si>
  <si>
    <t>Nirvana in Fire S4</t>
  </si>
  <si>
    <t>Flesh S2</t>
  </si>
  <si>
    <t>Jubilee S2</t>
  </si>
  <si>
    <t>Soorarai Pottru S2</t>
  </si>
  <si>
    <t>Vadhandhi S3</t>
  </si>
  <si>
    <t>Put Your Head on My Shoulder S2</t>
  </si>
  <si>
    <t>Jubilee S3</t>
  </si>
  <si>
    <t>Bard of Blood S5</t>
  </si>
  <si>
    <t>Altered Carbon S6</t>
  </si>
  <si>
    <t>📊  INDUSTRY-WISE SUMMARY</t>
  </si>
  <si>
    <t>Total Series</t>
  </si>
  <si>
    <t>Avg Rating</t>
  </si>
  <si>
    <t>Total Viewers (M)</t>
  </si>
  <si>
    <t>Total Sales (₹ Cr)</t>
  </si>
  <si>
    <t>Total Profit (₹ Cr)</t>
  </si>
  <si>
    <t>TOTAL</t>
  </si>
  <si>
    <t>📺  PLATFORM-WISE SUMMARY</t>
  </si>
  <si>
    <t>🎭  GENRE-WISE SUMMARY</t>
  </si>
  <si>
    <t>Row Labels</t>
  </si>
  <si>
    <t>Sum of Total Sales
(₹ Crore)</t>
  </si>
  <si>
    <t>Count of Viewers</t>
  </si>
  <si>
    <t>profit(₹ Crore)</t>
  </si>
  <si>
    <t>Total Sales((₹ Crore)</t>
  </si>
  <si>
    <t>date</t>
  </si>
  <si>
    <t>Jan</t>
  </si>
  <si>
    <t>Feb</t>
  </si>
  <si>
    <t>Mar</t>
  </si>
  <si>
    <t>Apr</t>
  </si>
  <si>
    <t>May</t>
  </si>
  <si>
    <t>Jun</t>
  </si>
  <si>
    <t>WEB SERIES RATING AND REVENUE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</si>
</sst>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dd\-mm\-yyyy"/>
  </numFmts>
  <fonts count="11" x14ac:knownFonts="1">
    <font>
      <sz val="11"/>
      <color theme="1"/>
      <name val="Calibri"/>
      <family val="2"/>
      <charset val="1"/>
    </font>
    <font>
      <b/>
      <sz val="11"/>
      <color rgb="FFFFFFFF"/>
      <name val="Arial"/>
      <charset val="1"/>
    </font>
    <font>
      <sz val="10"/>
      <name val="Arial"/>
      <charset val="1"/>
    </font>
    <font>
      <b/>
      <sz val="10"/>
      <color rgb="FF000000"/>
      <name val="Arial"/>
      <charset val="1"/>
    </font>
    <font>
      <b/>
      <sz val="10"/>
      <name val="Arial"/>
      <charset val="1"/>
    </font>
    <font>
      <b/>
      <sz val="10"/>
      <color rgb="FFFFFFFF"/>
      <name val="Arial"/>
      <charset val="1"/>
    </font>
    <font>
      <b/>
      <sz val="14"/>
      <color rgb="FFE94560"/>
      <name val="Arial"/>
      <charset val="1"/>
    </font>
    <font>
      <sz val="18"/>
      <color theme="1"/>
      <name val="Calibri"/>
      <family val="2"/>
      <charset val="1"/>
    </font>
    <font>
      <b/>
      <sz val="26"/>
      <color rgb="FFC00000"/>
      <name val="Calibri"/>
      <family val="2"/>
    </font>
    <font>
      <b/>
      <sz val="26"/>
      <color theme="1"/>
      <name val="Calibri"/>
      <family val="2"/>
    </font>
    <font>
      <b/>
      <sz val="11"/>
      <color rgb="FFFFFFFF"/>
      <name val="Arial"/>
      <family val="2"/>
    </font>
  </fonts>
  <fills count="23">
    <fill>
      <patternFill patternType="none"/>
    </fill>
    <fill>
      <patternFill patternType="gray125"/>
    </fill>
    <fill>
      <patternFill patternType="solid">
        <fgColor rgb="FF1A1A2E"/>
        <bgColor rgb="FF0F3460"/>
      </patternFill>
    </fill>
    <fill>
      <patternFill patternType="solid">
        <fgColor rgb="FFFFFFFF"/>
        <bgColor rgb="FFFFF9E1"/>
      </patternFill>
    </fill>
    <fill>
      <patternFill patternType="solid">
        <fgColor rgb="FFE1F5E4"/>
        <bgColor rgb="FFE8F4FD"/>
      </patternFill>
    </fill>
    <fill>
      <patternFill patternType="solid">
        <fgColor rgb="FFB6D7A8"/>
        <bgColor rgb="FFCCCCCC"/>
      </patternFill>
    </fill>
    <fill>
      <patternFill patternType="solid">
        <fgColor rgb="FFEBF5FB"/>
        <bgColor rgb="FFE8F4FD"/>
      </patternFill>
    </fill>
    <fill>
      <patternFill patternType="solid">
        <fgColor rgb="FFFFF3E1"/>
        <bgColor rgb="FFFFF9E1"/>
      </patternFill>
    </fill>
    <fill>
      <patternFill patternType="solid">
        <fgColor rgb="FF38761D"/>
        <bgColor rgb="FF808000"/>
      </patternFill>
    </fill>
    <fill>
      <patternFill patternType="solid">
        <fgColor rgb="FF6AA84F"/>
        <bgColor rgb="FF969696"/>
      </patternFill>
    </fill>
    <fill>
      <patternFill patternType="solid">
        <fgColor rgb="FFFFE4E1"/>
        <bgColor rgb="FFFFF3E1"/>
      </patternFill>
    </fill>
    <fill>
      <patternFill patternType="solid">
        <fgColor rgb="FFFFCC99"/>
        <bgColor rgb="FFFFE599"/>
      </patternFill>
    </fill>
    <fill>
      <patternFill patternType="solid">
        <fgColor rgb="FFFFB3B3"/>
        <bgColor rgb="FFFFCC99"/>
      </patternFill>
    </fill>
    <fill>
      <patternFill patternType="solid">
        <fgColor rgb="FFE1E8FF"/>
        <bgColor rgb="FFE8F4FD"/>
      </patternFill>
    </fill>
    <fill>
      <patternFill patternType="solid">
        <fgColor rgb="FFFFE599"/>
        <bgColor rgb="FFFFCC99"/>
      </patternFill>
    </fill>
    <fill>
      <patternFill patternType="solid">
        <fgColor rgb="FFF3E1FF"/>
        <bgColor rgb="FFF4E1FF"/>
      </patternFill>
    </fill>
    <fill>
      <patternFill patternType="solid">
        <fgColor rgb="FF0F3460"/>
        <bgColor rgb="FF1A1A2E"/>
      </patternFill>
    </fill>
    <fill>
      <patternFill patternType="solid">
        <fgColor rgb="FFFFF9E1"/>
        <bgColor rgb="FFFFF3E1"/>
      </patternFill>
    </fill>
    <fill>
      <patternFill patternType="solid">
        <fgColor rgb="FFE8F4FD"/>
        <bgColor rgb="FFEBF5FB"/>
      </patternFill>
    </fill>
    <fill>
      <patternFill patternType="solid">
        <fgColor rgb="FFF4E1FF"/>
        <bgColor rgb="FFF3E1FF"/>
      </patternFill>
    </fill>
    <fill>
      <patternFill patternType="solid">
        <fgColor theme="0" tint="-0.249977111117893"/>
        <bgColor indexed="64"/>
      </patternFill>
    </fill>
    <fill>
      <patternFill patternType="solid">
        <fgColor theme="1" tint="0.14999847407452621"/>
        <bgColor indexed="64"/>
      </patternFill>
    </fill>
    <fill>
      <patternFill patternType="solid">
        <fgColor theme="1" tint="0.24997711111789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left" vertical="center"/>
    </xf>
    <xf numFmtId="0" fontId="3"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6" borderId="1" xfId="0" applyFont="1" applyFill="1" applyBorder="1" applyAlignment="1">
      <alignment horizontal="left" vertical="center"/>
    </xf>
    <xf numFmtId="0" fontId="5"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2"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4"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3" fillId="12" borderId="1" xfId="0" applyFont="1" applyFill="1" applyBorder="1" applyAlignment="1">
      <alignment horizontal="center" vertical="center"/>
    </xf>
    <xf numFmtId="0" fontId="1" fillId="16" borderId="1" xfId="0" applyFont="1" applyFill="1" applyBorder="1" applyAlignment="1">
      <alignment horizontal="center" vertical="center" wrapText="1"/>
    </xf>
    <xf numFmtId="0" fontId="4" fillId="10" borderId="1" xfId="0" applyFont="1" applyFill="1" applyBorder="1" applyAlignment="1">
      <alignment horizontal="left" vertical="center"/>
    </xf>
    <xf numFmtId="0" fontId="4" fillId="4" borderId="1" xfId="0" applyFont="1" applyFill="1" applyBorder="1" applyAlignment="1">
      <alignment horizontal="left" vertical="center"/>
    </xf>
    <xf numFmtId="0" fontId="4" fillId="13" borderId="1" xfId="0" applyFont="1" applyFill="1" applyBorder="1" applyAlignment="1">
      <alignment horizontal="left" vertical="center"/>
    </xf>
    <xf numFmtId="0" fontId="4" fillId="7" borderId="1" xfId="0" applyFont="1" applyFill="1" applyBorder="1" applyAlignment="1">
      <alignment horizontal="left" vertical="center"/>
    </xf>
    <xf numFmtId="0" fontId="4" fillId="15" borderId="1" xfId="0" applyFont="1" applyFill="1" applyBorder="1" applyAlignment="1">
      <alignment horizontal="left" vertical="center"/>
    </xf>
    <xf numFmtId="0" fontId="4" fillId="17" borderId="1" xfId="0" applyFont="1" applyFill="1" applyBorder="1" applyAlignment="1">
      <alignment horizontal="left" vertical="center"/>
    </xf>
    <xf numFmtId="0" fontId="2" fillId="17" borderId="1" xfId="0" applyFont="1" applyFill="1" applyBorder="1" applyAlignment="1">
      <alignment horizontal="center" vertical="center"/>
    </xf>
    <xf numFmtId="0" fontId="4" fillId="18" borderId="1" xfId="0" applyFont="1" applyFill="1" applyBorder="1" applyAlignment="1">
      <alignment horizontal="left" vertical="center"/>
    </xf>
    <xf numFmtId="0" fontId="2" fillId="18" borderId="1" xfId="0" applyFont="1" applyFill="1" applyBorder="1" applyAlignment="1">
      <alignment horizontal="center" vertical="center"/>
    </xf>
    <xf numFmtId="0" fontId="4" fillId="19" borderId="1" xfId="0" applyFont="1" applyFill="1" applyBorder="1" applyAlignment="1">
      <alignment horizontal="left" vertical="center"/>
    </xf>
    <xf numFmtId="0" fontId="2" fillId="19" borderId="1" xfId="0" applyFont="1" applyFill="1" applyBorder="1" applyAlignment="1">
      <alignment horizontal="center" vertical="center"/>
    </xf>
    <xf numFmtId="0" fontId="0" fillId="0" borderId="0" xfId="0" pivotButton="1"/>
    <xf numFmtId="0" fontId="0" fillId="0" borderId="0" xfId="0" applyAlignment="1">
      <alignment horizontal="left"/>
    </xf>
    <xf numFmtId="0" fontId="6" fillId="2" borderId="0" xfId="0" applyFont="1" applyFill="1" applyAlignment="1">
      <alignment horizontal="center" vertical="center"/>
    </xf>
    <xf numFmtId="0" fontId="0" fillId="0" borderId="0" xfId="0" applyNumberFormat="1"/>
    <xf numFmtId="0" fontId="0" fillId="20" borderId="0" xfId="0" applyFill="1"/>
    <xf numFmtId="0" fontId="0" fillId="22" borderId="0" xfId="0" applyFill="1"/>
    <xf numFmtId="168" fontId="2" fillId="3" borderId="1" xfId="0" applyNumberFormat="1" applyFont="1" applyFill="1" applyBorder="1" applyAlignment="1">
      <alignment horizontal="center" vertical="center"/>
    </xf>
    <xf numFmtId="168" fontId="2" fillId="6" borderId="1" xfId="0" applyNumberFormat="1" applyFont="1" applyFill="1" applyBorder="1" applyAlignment="1">
      <alignment horizontal="center" vertical="center"/>
    </xf>
    <xf numFmtId="0" fontId="8" fillId="21" borderId="0" xfId="0" applyFont="1" applyFill="1" applyAlignment="1">
      <alignment horizontal="center" vertical="center"/>
    </xf>
    <xf numFmtId="0" fontId="9" fillId="21" borderId="0" xfId="0" applyFont="1" applyFill="1" applyAlignment="1"/>
    <xf numFmtId="0" fontId="7" fillId="20" borderId="0" xfId="0" applyFont="1" applyFill="1" applyAlignment="1">
      <alignment horizontal="right" vertical="center"/>
    </xf>
    <xf numFmtId="0" fontId="10" fillId="2" borderId="1" xfId="0" applyFont="1" applyFill="1" applyBorder="1" applyAlignment="1">
      <alignment horizontal="center" vertical="center" wrapText="1"/>
    </xf>
  </cellXfs>
  <cellStyles count="1">
    <cellStyle name="Normal" xfId="0" builtinId="0"/>
  </cellStyles>
  <dxfs count="0"/>
  <tableStyles count="2" defaultTableStyle="TableStyleMedium2" defaultPivotStyle="PivotStyleLight16">
    <tableStyle name="Slicer Style 1" pivot="0" table="0" count="1" xr9:uid="{DD4F2B53-7F5A-4817-A068-827E598157B8}"/>
    <tableStyle name="Slicer Style 2" pivot="0" table="0" count="1" xr9:uid="{DC9C9B93-5416-4434-9AC3-45042A4F675C}"/>
  </tableStyles>
  <colors>
    <indexedColors>
      <rgbColor rgb="FF000000"/>
      <rgbColor rgb="FFFFFFFF"/>
      <rgbColor rgb="FFFF0000"/>
      <rgbColor rgb="FF00FF00"/>
      <rgbColor rgb="FF0000FF"/>
      <rgbColor rgb="FFFFF3E1"/>
      <rgbColor rgb="FFFF00FF"/>
      <rgbColor rgb="FF00FFFF"/>
      <rgbColor rgb="FF800000"/>
      <rgbColor rgb="FF38761D"/>
      <rgbColor rgb="FF000080"/>
      <rgbColor rgb="FF808000"/>
      <rgbColor rgb="FF800080"/>
      <rgbColor rgb="FF008080"/>
      <rgbColor rgb="FFCCCCCC"/>
      <rgbColor rgb="FF808080"/>
      <rgbColor rgb="FFF4E1FF"/>
      <rgbColor rgb="FF993366"/>
      <rgbColor rgb="FFFFF9E1"/>
      <rgbColor rgb="FFE8F4FD"/>
      <rgbColor rgb="FF660066"/>
      <rgbColor rgb="FFFF8080"/>
      <rgbColor rgb="FF0066CC"/>
      <rgbColor rgb="FFE1E8FF"/>
      <rgbColor rgb="FF000080"/>
      <rgbColor rgb="FFFF00FF"/>
      <rgbColor rgb="FFFFFF00"/>
      <rgbColor rgb="FF00FFFF"/>
      <rgbColor rgb="FF800080"/>
      <rgbColor rgb="FF800000"/>
      <rgbColor rgb="FF008080"/>
      <rgbColor rgb="FF0000FF"/>
      <rgbColor rgb="FF00CCFF"/>
      <rgbColor rgb="FFEBF5FB"/>
      <rgbColor rgb="FFE1F5E4"/>
      <rgbColor rgb="FFFFE599"/>
      <rgbColor rgb="FFB6D7A8"/>
      <rgbColor rgb="FFFFB3B3"/>
      <rgbColor rgb="FFF3E1FF"/>
      <rgbColor rgb="FFFFCC99"/>
      <rgbColor rgb="FF3366FF"/>
      <rgbColor rgb="FF33CCCC"/>
      <rgbColor rgb="FF99CC00"/>
      <rgbColor rgb="FFFFE4E1"/>
      <rgbColor rgb="FFFF9900"/>
      <rgbColor rgb="FFE94560"/>
      <rgbColor rgb="FF666699"/>
      <rgbColor rgb="FF969696"/>
      <rgbColor rgb="FF0F3460"/>
      <rgbColor rgb="FF6AA84F"/>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2">
        <dxf>
          <fill>
            <patternFill>
              <bgColor theme="0" tint="-0.34998626667073579"/>
            </patternFill>
          </fill>
        </dxf>
        <dxf>
          <fill>
            <patternFill>
              <bgColor theme="1" tint="0.499984740745262"/>
            </patternFill>
          </fill>
        </dxf>
      </x14:dxfs>
    </ext>
    <ext xmlns:x14="http://schemas.microsoft.com/office/spreadsheetml/2009/9/main" uri="{EB79DEF2-80B8-43e5-95BD-54CBDDF9020C}">
      <x14:slicerStyles defaultSlicerStyle="Slicer Style 2">
        <x14:slicerStyle name="Slicer Style 1">
          <x14:slicerStyleElements>
            <x14:slicerStyleElement type="unselectedItemWithData" dxfId="1"/>
          </x14:slicerStyleElements>
        </x14:slicerStyle>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board!PivotTable2</c:name>
    <c:fmtId val="11"/>
  </c:pivotSource>
  <c:chart>
    <c:autoTitleDeleted val="1"/>
    <c:pivotFmts>
      <c:pivotFmt>
        <c:idx val="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772609348686903"/>
          <c:y val="0.25813692480359146"/>
          <c:w val="0.72178363821658953"/>
          <c:h val="0.69933397653356566"/>
        </c:manualLayout>
      </c:layout>
      <c:bar3DChart>
        <c:barDir val="bar"/>
        <c:grouping val="stacked"/>
        <c:varyColors val="0"/>
        <c:ser>
          <c:idx val="0"/>
          <c:order val="0"/>
          <c:tx>
            <c:strRef>
              <c:f>'dash board'!$B$3</c:f>
              <c:strCache>
                <c:ptCount val="1"/>
                <c:pt idx="0">
                  <c:v>Total</c:v>
                </c:pt>
              </c:strCache>
            </c:strRef>
          </c:tx>
          <c:spPr>
            <a:solidFill>
              <a:schemeClr val="accent1"/>
            </a:solidFill>
            <a:ln>
              <a:noFill/>
            </a:ln>
            <a:effectLst/>
            <a:sp3d/>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1">
                          <a:lumMod val="35000"/>
                          <a:lumOff val="65000"/>
                        </a:schemeClr>
                      </a:solidFill>
                    </a:ln>
                    <a:effectLst/>
                  </c:spPr>
                </c15:leaderLines>
              </c:ext>
            </c:extLst>
          </c:dLbls>
          <c:cat>
            <c:strRef>
              <c:f>'dash board'!$A$4:$A$8</c:f>
              <c:strCache>
                <c:ptCount val="5"/>
                <c:pt idx="0">
                  <c:v>Bollywood</c:v>
                </c:pt>
                <c:pt idx="1">
                  <c:v>Chinese</c:v>
                </c:pt>
                <c:pt idx="2">
                  <c:v>Hollywood</c:v>
                </c:pt>
                <c:pt idx="3">
                  <c:v>Japanese</c:v>
                </c:pt>
                <c:pt idx="4">
                  <c:v>Tollywood</c:v>
                </c:pt>
              </c:strCache>
            </c:strRef>
          </c:cat>
          <c:val>
            <c:numRef>
              <c:f>'dash board'!$B$4:$B$8</c:f>
              <c:numCache>
                <c:formatCode>General</c:formatCode>
                <c:ptCount val="5"/>
                <c:pt idx="0">
                  <c:v>890.14999999999964</c:v>
                </c:pt>
                <c:pt idx="1">
                  <c:v>576.46999999999991</c:v>
                </c:pt>
                <c:pt idx="2">
                  <c:v>1848.6200000000008</c:v>
                </c:pt>
                <c:pt idx="3">
                  <c:v>702.22</c:v>
                </c:pt>
                <c:pt idx="4">
                  <c:v>491.96999999999997</c:v>
                </c:pt>
              </c:numCache>
            </c:numRef>
          </c:val>
          <c:extLst>
            <c:ext xmlns:c16="http://schemas.microsoft.com/office/drawing/2014/chart" uri="{C3380CC4-5D6E-409C-BE32-E72D297353CC}">
              <c16:uniqueId val="{00000001-8019-4D0C-9A56-0CDA1E4C4A5D}"/>
            </c:ext>
          </c:extLst>
        </c:ser>
        <c:dLbls>
          <c:showLegendKey val="0"/>
          <c:showVal val="0"/>
          <c:showCatName val="0"/>
          <c:showSerName val="0"/>
          <c:showPercent val="0"/>
          <c:showBubbleSize val="0"/>
        </c:dLbls>
        <c:gapWidth val="79"/>
        <c:shape val="box"/>
        <c:axId val="1220974176"/>
        <c:axId val="1220985696"/>
        <c:axId val="0"/>
      </c:bar3DChart>
      <c:catAx>
        <c:axId val="122097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20985696"/>
        <c:crosses val="autoZero"/>
        <c:auto val="1"/>
        <c:lblAlgn val="ctr"/>
        <c:lblOffset val="100"/>
        <c:noMultiLvlLbl val="0"/>
      </c:catAx>
      <c:valAx>
        <c:axId val="1220985696"/>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a:t>
                </a:r>
                <a:r>
                  <a:rPr lang="en-IN" baseline="0"/>
                  <a:t> sales of industry</a:t>
                </a:r>
              </a:p>
            </c:rich>
          </c:tx>
          <c:layout>
            <c:manualLayout>
              <c:xMode val="edge"/>
              <c:yMode val="edge"/>
              <c:x val="0.33246299414885278"/>
              <c:y val="6.6405966930901311E-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209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viewers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 board'!$E$3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board'!$D$4:$D$11</c:f>
              <c:strCache>
                <c:ptCount val="8"/>
                <c:pt idx="0">
                  <c:v>Action</c:v>
                </c:pt>
                <c:pt idx="1">
                  <c:v>Comedy</c:v>
                </c:pt>
                <c:pt idx="2">
                  <c:v>Crime</c:v>
                </c:pt>
                <c:pt idx="3">
                  <c:v>Drama</c:v>
                </c:pt>
                <c:pt idx="4">
                  <c:v>Fantasy</c:v>
                </c:pt>
                <c:pt idx="5">
                  <c:v>Horror</c:v>
                </c:pt>
                <c:pt idx="6">
                  <c:v>Romance</c:v>
                </c:pt>
                <c:pt idx="7">
                  <c:v>Thriller</c:v>
                </c:pt>
              </c:strCache>
            </c:strRef>
          </c:cat>
          <c:val>
            <c:numRef>
              <c:f>'dash board'!$E$4:$E$11</c:f>
              <c:numCache>
                <c:formatCode>General</c:formatCode>
                <c:ptCount val="8"/>
                <c:pt idx="0">
                  <c:v>90</c:v>
                </c:pt>
                <c:pt idx="1">
                  <c:v>61</c:v>
                </c:pt>
                <c:pt idx="2">
                  <c:v>55</c:v>
                </c:pt>
                <c:pt idx="3">
                  <c:v>78</c:v>
                </c:pt>
                <c:pt idx="4">
                  <c:v>35</c:v>
                </c:pt>
                <c:pt idx="5">
                  <c:v>35</c:v>
                </c:pt>
                <c:pt idx="6">
                  <c:v>80</c:v>
                </c:pt>
                <c:pt idx="7">
                  <c:v>66</c:v>
                </c:pt>
              </c:numCache>
            </c:numRef>
          </c:val>
          <c:extLst>
            <c:ext xmlns:c16="http://schemas.microsoft.com/office/drawing/2014/chart" uri="{C3380CC4-5D6E-409C-BE32-E72D297353CC}">
              <c16:uniqueId val="{00000000-D9F4-46E1-829A-C87991B16C13}"/>
            </c:ext>
          </c:extLst>
        </c:ser>
        <c:dLbls>
          <c:showLegendKey val="0"/>
          <c:showVal val="1"/>
          <c:showCatName val="0"/>
          <c:showSerName val="0"/>
          <c:showPercent val="0"/>
          <c:showBubbleSize val="0"/>
        </c:dLbls>
        <c:gapWidth val="150"/>
        <c:shape val="box"/>
        <c:axId val="1221003456"/>
        <c:axId val="1221018336"/>
        <c:axId val="0"/>
      </c:bar3DChart>
      <c:catAx>
        <c:axId val="122100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18336"/>
        <c:crosses val="autoZero"/>
        <c:auto val="1"/>
        <c:lblAlgn val="ctr"/>
        <c:lblOffset val="100"/>
        <c:noMultiLvlLbl val="0"/>
      </c:catAx>
      <c:valAx>
        <c:axId val="122101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0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platform</a:t>
            </a:r>
            <a:endParaRPr lang="en-US"/>
          </a:p>
        </c:rich>
      </c:tx>
      <c:layout>
        <c:manualLayout>
          <c:xMode val="edge"/>
          <c:yMode val="edge"/>
          <c:x val="0.24475947563006234"/>
          <c:y val="8.273704380108378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24372759856631E-2"/>
              <c:y val="0.2281368821292774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0161290322580644"/>
              <c:y val="4.43599493029150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129032258064521"/>
              <c:y val="-9.505703422053231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577060931899634"/>
              <c:y val="-3.802281368821292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88888888888889"/>
              <c:y val="-4.43599493029150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577060931899634"/>
              <c:y val="-3.802281368821292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129032258064521"/>
              <c:y val="-9.505703422053231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161290322580644"/>
              <c:y val="4.43599493029150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824372759856631E-2"/>
              <c:y val="0.2281368821292774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88888888888889"/>
              <c:y val="-4.43599493029150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6577060931899634"/>
              <c:y val="-3.802281368821292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6129032258064521"/>
              <c:y val="-9.505703422053231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20161290322580644"/>
              <c:y val="4.43599493029150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5.824372759856631E-2"/>
              <c:y val="0.2281368821292774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88888888888889"/>
              <c:y val="-4.43599493029150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70066755354216E-2"/>
          <c:y val="0.17252688172043013"/>
          <c:w val="0.52477168949771691"/>
          <c:h val="0.74145161290322581"/>
        </c:manualLayout>
      </c:layout>
      <c:doughnutChart>
        <c:varyColors val="1"/>
        <c:ser>
          <c:idx val="0"/>
          <c:order val="0"/>
          <c:tx>
            <c:strRef>
              <c:f>'dash board'!$H$3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4B-4767-A8B8-5EE4A41F5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4B-4767-A8B8-5EE4A41F5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4B-4767-A8B8-5EE4A41F5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4B-4767-A8B8-5EE4A41F5B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4B-4767-A8B8-5EE4A41F5B5E}"/>
              </c:ext>
            </c:extLst>
          </c:dPt>
          <c:dLbls>
            <c:dLbl>
              <c:idx val="0"/>
              <c:layout>
                <c:manualLayout>
                  <c:x val="0.16577060931899634"/>
                  <c:y val="-3.8022813688212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4B-4767-A8B8-5EE4A41F5B5E}"/>
                </c:ext>
              </c:extLst>
            </c:dLbl>
            <c:dLbl>
              <c:idx val="1"/>
              <c:layout>
                <c:manualLayout>
                  <c:x val="-0.16129032258064521"/>
                  <c:y val="-9.50570342205323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4B-4767-A8B8-5EE4A41F5B5E}"/>
                </c:ext>
              </c:extLst>
            </c:dLbl>
            <c:dLbl>
              <c:idx val="2"/>
              <c:layout>
                <c:manualLayout>
                  <c:x val="0.20161290322580644"/>
                  <c:y val="4.4359949302915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4B-4767-A8B8-5EE4A41F5B5E}"/>
                </c:ext>
              </c:extLst>
            </c:dLbl>
            <c:dLbl>
              <c:idx val="3"/>
              <c:layout>
                <c:manualLayout>
                  <c:x val="-5.824372759856631E-2"/>
                  <c:y val="0.228136882129277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4B-4767-A8B8-5EE4A41F5B5E}"/>
                </c:ext>
              </c:extLst>
            </c:dLbl>
            <c:dLbl>
              <c:idx val="4"/>
              <c:layout>
                <c:manualLayout>
                  <c:x val="-0.1388888888888889"/>
                  <c:y val="-4.4359949302915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4B-4767-A8B8-5EE4A41F5B5E}"/>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 board'!$G$4:$G$8</c:f>
              <c:strCache>
                <c:ptCount val="5"/>
                <c:pt idx="0">
                  <c:v>Amazon Prime</c:v>
                </c:pt>
                <c:pt idx="1">
                  <c:v>Hotstar</c:v>
                </c:pt>
                <c:pt idx="2">
                  <c:v>JioCinema</c:v>
                </c:pt>
                <c:pt idx="3">
                  <c:v>Netflix</c:v>
                </c:pt>
                <c:pt idx="4">
                  <c:v>SonyLIV</c:v>
                </c:pt>
              </c:strCache>
            </c:strRef>
          </c:cat>
          <c:val>
            <c:numRef>
              <c:f>'dash board'!$H$4:$H$8</c:f>
              <c:numCache>
                <c:formatCode>General</c:formatCode>
                <c:ptCount val="5"/>
                <c:pt idx="0">
                  <c:v>339.73999999999995</c:v>
                </c:pt>
                <c:pt idx="1">
                  <c:v>363.74999999999977</c:v>
                </c:pt>
                <c:pt idx="2">
                  <c:v>355.56999999999994</c:v>
                </c:pt>
                <c:pt idx="3">
                  <c:v>354.7999999999999</c:v>
                </c:pt>
                <c:pt idx="4">
                  <c:v>389.92</c:v>
                </c:pt>
              </c:numCache>
            </c:numRef>
          </c:val>
          <c:extLst>
            <c:ext xmlns:c16="http://schemas.microsoft.com/office/drawing/2014/chart" uri="{C3380CC4-5D6E-409C-BE32-E72D297353CC}">
              <c16:uniqueId val="{0000000A-314B-4767-A8B8-5EE4A41F5B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6 series </a:t>
            </a:r>
            <a:endParaRPr lang="en-US" baseline="0"/>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solidFill>
              <a:schemeClr val="bg1"/>
            </a:solid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1517140773158278"/>
              <c:y val="-1.8656716417910446E-2"/>
            </c:manualLayout>
          </c:layout>
          <c:spPr>
            <a:solidFill>
              <a:schemeClr val="bg1"/>
            </a:solid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1670313639679067"/>
              <c:y val="-1.8656716417910477E-2"/>
            </c:manualLayout>
          </c:layout>
          <c:spPr>
            <a:solidFill>
              <a:schemeClr val="bg1"/>
            </a:solid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6776075857038653"/>
              <c:y val="-1.8656716417910446E-2"/>
            </c:manualLayout>
          </c:layout>
          <c:spPr>
            <a:solidFill>
              <a:schemeClr val="bg1"/>
            </a:solid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3493800145878915"/>
              <c:y val="0"/>
            </c:manualLayout>
          </c:layout>
          <c:spPr>
            <a:solidFill>
              <a:schemeClr val="bg1"/>
            </a:solid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7505470459518585"/>
              <c:y val="-1.1401194992256711E-16"/>
            </c:manualLayout>
          </c:layout>
          <c:spPr>
            <a:solidFill>
              <a:schemeClr val="bg1"/>
            </a:solid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29540481400437651"/>
              <c:y val="-1.1401194992256711E-16"/>
            </c:manualLayout>
          </c:layout>
          <c:spPr>
            <a:solidFill>
              <a:schemeClr val="bg1"/>
            </a:solid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26288276465442"/>
          <c:y val="0.18948711168566618"/>
          <c:w val="0.63929322370615271"/>
          <c:h val="0.69150458338230114"/>
        </c:manualLayout>
      </c:layout>
      <c:bar3DChart>
        <c:barDir val="bar"/>
        <c:grouping val="stacked"/>
        <c:varyColors val="0"/>
        <c:ser>
          <c:idx val="0"/>
          <c:order val="0"/>
          <c:tx>
            <c:strRef>
              <c:f>'dash board'!$K$3</c:f>
              <c:strCache>
                <c:ptCount val="1"/>
                <c:pt idx="0">
                  <c:v>Total</c:v>
                </c:pt>
              </c:strCache>
            </c:strRef>
          </c:tx>
          <c:spPr>
            <a:solidFill>
              <a:schemeClr val="accent1"/>
            </a:solidFill>
            <a:ln>
              <a:noFill/>
            </a:ln>
            <a:effectLst/>
            <a:sp3d/>
          </c:spPr>
          <c:invertIfNegative val="0"/>
          <c:dLbls>
            <c:dLbl>
              <c:idx val="0"/>
              <c:layout>
                <c:manualLayout>
                  <c:x val="0.29540481400437651"/>
                  <c:y val="-1.140119499225671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97-42B2-988D-0D0C32D92288}"/>
                </c:ext>
              </c:extLst>
            </c:dLbl>
            <c:dLbl>
              <c:idx val="1"/>
              <c:layout>
                <c:manualLayout>
                  <c:x val="0.17505470459518585"/>
                  <c:y val="-1.140119499225671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97-42B2-988D-0D0C32D92288}"/>
                </c:ext>
              </c:extLst>
            </c:dLbl>
            <c:dLbl>
              <c:idx val="2"/>
              <c:layout>
                <c:manualLayout>
                  <c:x val="0.1349380014587891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97-42B2-988D-0D0C32D92288}"/>
                </c:ext>
              </c:extLst>
            </c:dLbl>
            <c:dLbl>
              <c:idx val="3"/>
              <c:layout>
                <c:manualLayout>
                  <c:x val="0.16776075857038653"/>
                  <c:y val="-1.8656716417910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97-42B2-988D-0D0C32D92288}"/>
                </c:ext>
              </c:extLst>
            </c:dLbl>
            <c:dLbl>
              <c:idx val="4"/>
              <c:layout>
                <c:manualLayout>
                  <c:x val="0.21517140773158278"/>
                  <c:y val="-1.8656716417910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97-42B2-988D-0D0C32D92288}"/>
                </c:ext>
              </c:extLst>
            </c:dLbl>
            <c:dLbl>
              <c:idx val="5"/>
              <c:layout>
                <c:manualLayout>
                  <c:x val="0.11670313639679067"/>
                  <c:y val="-1.86567164179104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97-42B2-988D-0D0C32D92288}"/>
                </c:ext>
              </c:extLst>
            </c:dLbl>
            <c:spPr>
              <a:solidFill>
                <a:schemeClr val="bg1"/>
              </a:solid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 board'!$J$4:$J$9</c:f>
              <c:strCache>
                <c:ptCount val="6"/>
                <c:pt idx="0">
                  <c:v>24 S4</c:v>
                </c:pt>
                <c:pt idx="1">
                  <c:v>Big Bang Theory S3</c:v>
                </c:pt>
                <c:pt idx="2">
                  <c:v>How I Met Your Mother</c:v>
                </c:pt>
                <c:pt idx="3">
                  <c:v>Money Heist</c:v>
                </c:pt>
                <c:pt idx="4">
                  <c:v>Reign S3</c:v>
                </c:pt>
                <c:pt idx="5">
                  <c:v>Stranger Things</c:v>
                </c:pt>
              </c:strCache>
            </c:strRef>
          </c:cat>
          <c:val>
            <c:numRef>
              <c:f>'dash board'!$K$4:$K$9</c:f>
              <c:numCache>
                <c:formatCode>General</c:formatCode>
                <c:ptCount val="6"/>
                <c:pt idx="0">
                  <c:v>40.18</c:v>
                </c:pt>
                <c:pt idx="1">
                  <c:v>35.909999999999997</c:v>
                </c:pt>
                <c:pt idx="2">
                  <c:v>36.880000000000003</c:v>
                </c:pt>
                <c:pt idx="3">
                  <c:v>36.479999999999997</c:v>
                </c:pt>
                <c:pt idx="4">
                  <c:v>38.979999999999997</c:v>
                </c:pt>
                <c:pt idx="5">
                  <c:v>37.36</c:v>
                </c:pt>
              </c:numCache>
            </c:numRef>
          </c:val>
          <c:extLst>
            <c:ext xmlns:c16="http://schemas.microsoft.com/office/drawing/2014/chart" uri="{C3380CC4-5D6E-409C-BE32-E72D297353CC}">
              <c16:uniqueId val="{00000000-A197-42B2-988D-0D0C32D92288}"/>
            </c:ext>
          </c:extLst>
        </c:ser>
        <c:dLbls>
          <c:showLegendKey val="0"/>
          <c:showVal val="1"/>
          <c:showCatName val="0"/>
          <c:showSerName val="0"/>
          <c:showPercent val="0"/>
          <c:showBubbleSize val="0"/>
        </c:dLbls>
        <c:gapWidth val="150"/>
        <c:shape val="box"/>
        <c:axId val="1221030336"/>
        <c:axId val="1221031296"/>
        <c:axId val="0"/>
      </c:bar3DChart>
      <c:catAx>
        <c:axId val="1221030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31296"/>
        <c:crosses val="autoZero"/>
        <c:auto val="1"/>
        <c:lblAlgn val="ctr"/>
        <c:lblOffset val="100"/>
        <c:noMultiLvlLbl val="0"/>
      </c:catAx>
      <c:valAx>
        <c:axId val="122103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30336"/>
        <c:crosses val="autoZero"/>
        <c:crossBetween val="between"/>
      </c:valAx>
    </c:plotArea>
    <c:plotVisOnly val="1"/>
    <c:dispBlanksAs val="gap"/>
    <c:showDLblsOverMax val="0"/>
    <c:extLst/>
  </c:chart>
  <c:spPr>
    <a:solidFill>
      <a:schemeClr val="bg1"/>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6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812374181382665"/>
          <c:y val="0.16917421612621003"/>
          <c:w val="0.56682896521992721"/>
          <c:h val="0.65640363502949217"/>
        </c:manualLayout>
      </c:layout>
      <c:bar3DChart>
        <c:barDir val="bar"/>
        <c:grouping val="clustered"/>
        <c:varyColors val="0"/>
        <c:ser>
          <c:idx val="0"/>
          <c:order val="0"/>
          <c:tx>
            <c:strRef>
              <c:f>'dash board'!$N$3</c:f>
              <c:strCache>
                <c:ptCount val="1"/>
                <c:pt idx="0">
                  <c:v>Total</c:v>
                </c:pt>
              </c:strCache>
            </c:strRef>
          </c:tx>
          <c:spPr>
            <a:solidFill>
              <a:schemeClr val="accent1"/>
            </a:solidFill>
            <a:ln>
              <a:noFill/>
            </a:ln>
            <a:effectLst/>
            <a:sp3d/>
          </c:spPr>
          <c:invertIfNegative val="0"/>
          <c:cat>
            <c:strRef>
              <c:f>'dash board'!$M$4:$M$9</c:f>
              <c:strCache>
                <c:ptCount val="6"/>
                <c:pt idx="0">
                  <c:v>Bard of Blood S5</c:v>
                </c:pt>
                <c:pt idx="1">
                  <c:v>Erased S6</c:v>
                </c:pt>
                <c:pt idx="2">
                  <c:v>Hometown Cha-Cha-Cha S4</c:v>
                </c:pt>
                <c:pt idx="3">
                  <c:v>Nirvana in Fire S2</c:v>
                </c:pt>
                <c:pt idx="4">
                  <c:v>Thaen S7</c:v>
                </c:pt>
                <c:pt idx="5">
                  <c:v>Tooth Pari S7</c:v>
                </c:pt>
              </c:strCache>
            </c:strRef>
          </c:cat>
          <c:val>
            <c:numRef>
              <c:f>'dash board'!$N$4:$N$9</c:f>
              <c:numCache>
                <c:formatCode>General</c:formatCode>
                <c:ptCount val="6"/>
                <c:pt idx="0">
                  <c:v>0.27</c:v>
                </c:pt>
                <c:pt idx="1">
                  <c:v>0.23</c:v>
                </c:pt>
                <c:pt idx="2">
                  <c:v>0.38</c:v>
                </c:pt>
                <c:pt idx="3">
                  <c:v>0.32</c:v>
                </c:pt>
                <c:pt idx="4">
                  <c:v>0.22</c:v>
                </c:pt>
                <c:pt idx="5">
                  <c:v>0.17</c:v>
                </c:pt>
              </c:numCache>
            </c:numRef>
          </c:val>
          <c:extLst>
            <c:ext xmlns:c16="http://schemas.microsoft.com/office/drawing/2014/chart" uri="{C3380CC4-5D6E-409C-BE32-E72D297353CC}">
              <c16:uniqueId val="{00000000-8814-45BD-8AF5-0C7F0BBC4113}"/>
            </c:ext>
          </c:extLst>
        </c:ser>
        <c:dLbls>
          <c:showLegendKey val="0"/>
          <c:showVal val="0"/>
          <c:showCatName val="0"/>
          <c:showSerName val="0"/>
          <c:showPercent val="0"/>
          <c:showBubbleSize val="0"/>
        </c:dLbls>
        <c:gapWidth val="150"/>
        <c:shape val="box"/>
        <c:axId val="130146624"/>
        <c:axId val="130147104"/>
        <c:axId val="0"/>
      </c:bar3DChart>
      <c:catAx>
        <c:axId val="13014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7104"/>
        <c:crosses val="autoZero"/>
        <c:auto val="1"/>
        <c:lblAlgn val="ctr"/>
        <c:lblOffset val="100"/>
        <c:noMultiLvlLbl val="0"/>
      </c:catAx>
      <c:valAx>
        <c:axId val="13014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 in Crore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 board'!$Q$3</c:f>
              <c:strCache>
                <c:ptCount val="1"/>
                <c:pt idx="0">
                  <c:v>Total</c:v>
                </c:pt>
              </c:strCache>
            </c:strRef>
          </c:tx>
          <c:spPr>
            <a:ln w="28575" cap="rnd">
              <a:solidFill>
                <a:schemeClr val="accent1"/>
              </a:solidFill>
              <a:round/>
            </a:ln>
            <a:effectLst/>
          </c:spPr>
          <c:marker>
            <c:symbol val="none"/>
          </c:marker>
          <c:cat>
            <c:strRef>
              <c:f>'dash board'!$P$4:$P$9</c:f>
              <c:strCache>
                <c:ptCount val="6"/>
                <c:pt idx="0">
                  <c:v>Jan</c:v>
                </c:pt>
                <c:pt idx="1">
                  <c:v>Feb</c:v>
                </c:pt>
                <c:pt idx="2">
                  <c:v>Mar</c:v>
                </c:pt>
                <c:pt idx="3">
                  <c:v>Apr</c:v>
                </c:pt>
                <c:pt idx="4">
                  <c:v>May</c:v>
                </c:pt>
                <c:pt idx="5">
                  <c:v>Jun</c:v>
                </c:pt>
              </c:strCache>
            </c:strRef>
          </c:cat>
          <c:val>
            <c:numRef>
              <c:f>'dash board'!$Q$4:$Q$9</c:f>
              <c:numCache>
                <c:formatCode>General</c:formatCode>
                <c:ptCount val="6"/>
                <c:pt idx="0">
                  <c:v>609.62000000000012</c:v>
                </c:pt>
                <c:pt idx="1">
                  <c:v>887.47</c:v>
                </c:pt>
                <c:pt idx="2">
                  <c:v>683.62</c:v>
                </c:pt>
                <c:pt idx="3">
                  <c:v>828.19999999999982</c:v>
                </c:pt>
                <c:pt idx="4">
                  <c:v>780.6099999999999</c:v>
                </c:pt>
                <c:pt idx="5">
                  <c:v>719.91000000000008</c:v>
                </c:pt>
              </c:numCache>
            </c:numRef>
          </c:val>
          <c:smooth val="0"/>
          <c:extLst>
            <c:ext xmlns:c16="http://schemas.microsoft.com/office/drawing/2014/chart" uri="{C3380CC4-5D6E-409C-BE32-E72D297353CC}">
              <c16:uniqueId val="{00000000-17F1-4D37-9BF2-F93157C9EEA5}"/>
            </c:ext>
          </c:extLst>
        </c:ser>
        <c:dLbls>
          <c:showLegendKey val="0"/>
          <c:showVal val="0"/>
          <c:showCatName val="0"/>
          <c:showSerName val="0"/>
          <c:showPercent val="0"/>
          <c:showBubbleSize val="0"/>
        </c:dLbls>
        <c:smooth val="0"/>
        <c:axId val="205135968"/>
        <c:axId val="205136448"/>
      </c:lineChart>
      <c:catAx>
        <c:axId val="20513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6448"/>
        <c:crosses val="autoZero"/>
        <c:auto val="1"/>
        <c:lblAlgn val="ctr"/>
        <c:lblOffset val="100"/>
        <c:noMultiLvlLbl val="0"/>
      </c:catAx>
      <c:valAx>
        <c:axId val="20513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board!PivotTable2</c:name>
    <c:fmtId val="0"/>
  </c:pivotSource>
  <c:chart>
    <c:autoTitleDeleted val="1"/>
    <c:pivotFmts>
      <c:pivotFmt>
        <c:idx val="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772609348686903"/>
          <c:y val="0.25813692480359146"/>
          <c:w val="0.72178363821658953"/>
          <c:h val="0.69933397653356566"/>
        </c:manualLayout>
      </c:layout>
      <c:bar3DChart>
        <c:barDir val="bar"/>
        <c:grouping val="stacked"/>
        <c:varyColors val="0"/>
        <c:ser>
          <c:idx val="0"/>
          <c:order val="0"/>
          <c:tx>
            <c:strRef>
              <c:f>'dash board'!$B$3</c:f>
              <c:strCache>
                <c:ptCount val="1"/>
                <c:pt idx="0">
                  <c:v>Total</c:v>
                </c:pt>
              </c:strCache>
            </c:strRef>
          </c:tx>
          <c:spPr>
            <a:solidFill>
              <a:schemeClr val="accent1"/>
            </a:solidFill>
            <a:ln>
              <a:noFill/>
            </a:ln>
            <a:effectLst/>
            <a:sp3d/>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1">
                          <a:lumMod val="35000"/>
                          <a:lumOff val="65000"/>
                        </a:schemeClr>
                      </a:solidFill>
                    </a:ln>
                    <a:effectLst/>
                  </c:spPr>
                </c15:leaderLines>
              </c:ext>
            </c:extLst>
          </c:dLbls>
          <c:cat>
            <c:strRef>
              <c:f>'dash board'!$A$4:$A$8</c:f>
              <c:strCache>
                <c:ptCount val="5"/>
                <c:pt idx="0">
                  <c:v>Bollywood</c:v>
                </c:pt>
                <c:pt idx="1">
                  <c:v>Chinese</c:v>
                </c:pt>
                <c:pt idx="2">
                  <c:v>Hollywood</c:v>
                </c:pt>
                <c:pt idx="3">
                  <c:v>Japanese</c:v>
                </c:pt>
                <c:pt idx="4">
                  <c:v>Tollywood</c:v>
                </c:pt>
              </c:strCache>
            </c:strRef>
          </c:cat>
          <c:val>
            <c:numRef>
              <c:f>'dash board'!$B$4:$B$8</c:f>
              <c:numCache>
                <c:formatCode>General</c:formatCode>
                <c:ptCount val="5"/>
                <c:pt idx="0">
                  <c:v>890.14999999999964</c:v>
                </c:pt>
                <c:pt idx="1">
                  <c:v>576.46999999999991</c:v>
                </c:pt>
                <c:pt idx="2">
                  <c:v>1848.6200000000008</c:v>
                </c:pt>
                <c:pt idx="3">
                  <c:v>702.22</c:v>
                </c:pt>
                <c:pt idx="4">
                  <c:v>491.96999999999997</c:v>
                </c:pt>
              </c:numCache>
            </c:numRef>
          </c:val>
          <c:extLst>
            <c:ext xmlns:c16="http://schemas.microsoft.com/office/drawing/2014/chart" uri="{C3380CC4-5D6E-409C-BE32-E72D297353CC}">
              <c16:uniqueId val="{00000000-DD8D-42D1-A7D5-99E065CE3561}"/>
            </c:ext>
          </c:extLst>
        </c:ser>
        <c:dLbls>
          <c:showLegendKey val="0"/>
          <c:showVal val="0"/>
          <c:showCatName val="0"/>
          <c:showSerName val="0"/>
          <c:showPercent val="0"/>
          <c:showBubbleSize val="0"/>
        </c:dLbls>
        <c:gapWidth val="79"/>
        <c:shape val="box"/>
        <c:axId val="1220974176"/>
        <c:axId val="1220985696"/>
        <c:axId val="0"/>
      </c:bar3DChart>
      <c:catAx>
        <c:axId val="122097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20985696"/>
        <c:crosses val="autoZero"/>
        <c:auto val="1"/>
        <c:lblAlgn val="ctr"/>
        <c:lblOffset val="100"/>
        <c:noMultiLvlLbl val="0"/>
      </c:catAx>
      <c:valAx>
        <c:axId val="1220985696"/>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a:t>
                </a:r>
                <a:r>
                  <a:rPr lang="en-IN" baseline="0"/>
                  <a:t> sales of industry</a:t>
                </a:r>
              </a:p>
            </c:rich>
          </c:tx>
          <c:layout>
            <c:manualLayout>
              <c:xMode val="edge"/>
              <c:yMode val="edge"/>
              <c:x val="0.33246299414885278"/>
              <c:y val="6.6405966930901311E-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209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viewers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 board'!$E$3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board'!$D$4:$D$11</c:f>
              <c:strCache>
                <c:ptCount val="8"/>
                <c:pt idx="0">
                  <c:v>Action</c:v>
                </c:pt>
                <c:pt idx="1">
                  <c:v>Comedy</c:v>
                </c:pt>
                <c:pt idx="2">
                  <c:v>Crime</c:v>
                </c:pt>
                <c:pt idx="3">
                  <c:v>Drama</c:v>
                </c:pt>
                <c:pt idx="4">
                  <c:v>Fantasy</c:v>
                </c:pt>
                <c:pt idx="5">
                  <c:v>Horror</c:v>
                </c:pt>
                <c:pt idx="6">
                  <c:v>Romance</c:v>
                </c:pt>
                <c:pt idx="7">
                  <c:v>Thriller</c:v>
                </c:pt>
              </c:strCache>
            </c:strRef>
          </c:cat>
          <c:val>
            <c:numRef>
              <c:f>'dash board'!$E$4:$E$11</c:f>
              <c:numCache>
                <c:formatCode>General</c:formatCode>
                <c:ptCount val="8"/>
                <c:pt idx="0">
                  <c:v>90</c:v>
                </c:pt>
                <c:pt idx="1">
                  <c:v>61</c:v>
                </c:pt>
                <c:pt idx="2">
                  <c:v>55</c:v>
                </c:pt>
                <c:pt idx="3">
                  <c:v>78</c:v>
                </c:pt>
                <c:pt idx="4">
                  <c:v>35</c:v>
                </c:pt>
                <c:pt idx="5">
                  <c:v>35</c:v>
                </c:pt>
                <c:pt idx="6">
                  <c:v>80</c:v>
                </c:pt>
                <c:pt idx="7">
                  <c:v>66</c:v>
                </c:pt>
              </c:numCache>
            </c:numRef>
          </c:val>
          <c:extLst>
            <c:ext xmlns:c16="http://schemas.microsoft.com/office/drawing/2014/chart" uri="{C3380CC4-5D6E-409C-BE32-E72D297353CC}">
              <c16:uniqueId val="{00000000-DD75-41C0-9FCC-06D4D9E7FC27}"/>
            </c:ext>
          </c:extLst>
        </c:ser>
        <c:dLbls>
          <c:showLegendKey val="0"/>
          <c:showVal val="1"/>
          <c:showCatName val="0"/>
          <c:showSerName val="0"/>
          <c:showPercent val="0"/>
          <c:showBubbleSize val="0"/>
        </c:dLbls>
        <c:gapWidth val="150"/>
        <c:shape val="box"/>
        <c:axId val="1221003456"/>
        <c:axId val="1221018336"/>
        <c:axId val="0"/>
      </c:bar3DChart>
      <c:catAx>
        <c:axId val="122100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18336"/>
        <c:crosses val="autoZero"/>
        <c:auto val="1"/>
        <c:lblAlgn val="ctr"/>
        <c:lblOffset val="100"/>
        <c:noMultiLvlLbl val="0"/>
      </c:catAx>
      <c:valAx>
        <c:axId val="122101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0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platform</a:t>
            </a:r>
            <a:endParaRPr lang="en-US"/>
          </a:p>
        </c:rich>
      </c:tx>
      <c:layout>
        <c:manualLayout>
          <c:xMode val="edge"/>
          <c:yMode val="edge"/>
          <c:x val="0.24475947563006234"/>
          <c:y val="8.273704380108378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24372759856631E-2"/>
              <c:y val="0.2281368821292774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0161290322580644"/>
              <c:y val="4.43599493029150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129032258064521"/>
              <c:y val="-9.505703422053231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577060931899634"/>
              <c:y val="-3.802281368821292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88888888888889"/>
              <c:y val="-4.435994930291508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70066755354216E-2"/>
          <c:y val="0.17252688172043013"/>
          <c:w val="0.52477168949771691"/>
          <c:h val="0.74145161290322581"/>
        </c:manualLayout>
      </c:layout>
      <c:doughnutChart>
        <c:varyColors val="1"/>
        <c:ser>
          <c:idx val="0"/>
          <c:order val="0"/>
          <c:tx>
            <c:strRef>
              <c:f>'dash board'!$H$3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694-4995-8531-B064E5975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694-4995-8531-B064E5975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0694-4995-8531-B064E59756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0694-4995-8531-B064E59756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0694-4995-8531-B064E59756D2}"/>
              </c:ext>
            </c:extLst>
          </c:dPt>
          <c:dLbls>
            <c:dLbl>
              <c:idx val="0"/>
              <c:layout>
                <c:manualLayout>
                  <c:x val="0.16577060931899634"/>
                  <c:y val="-3.8022813688212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94-4995-8531-B064E59756D2}"/>
                </c:ext>
              </c:extLst>
            </c:dLbl>
            <c:dLbl>
              <c:idx val="1"/>
              <c:layout>
                <c:manualLayout>
                  <c:x val="-0.16129032258064521"/>
                  <c:y val="-9.50570342205323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94-4995-8531-B064E59756D2}"/>
                </c:ext>
              </c:extLst>
            </c:dLbl>
            <c:dLbl>
              <c:idx val="2"/>
              <c:layout>
                <c:manualLayout>
                  <c:x val="0.20161290322580644"/>
                  <c:y val="4.4359949302915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94-4995-8531-B064E59756D2}"/>
                </c:ext>
              </c:extLst>
            </c:dLbl>
            <c:dLbl>
              <c:idx val="3"/>
              <c:layout>
                <c:manualLayout>
                  <c:x val="-5.824372759856631E-2"/>
                  <c:y val="0.228136882129277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94-4995-8531-B064E59756D2}"/>
                </c:ext>
              </c:extLst>
            </c:dLbl>
            <c:dLbl>
              <c:idx val="4"/>
              <c:layout>
                <c:manualLayout>
                  <c:x val="-0.1388888888888889"/>
                  <c:y val="-4.4359949302915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694-4995-8531-B064E59756D2}"/>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 board'!$G$4:$G$8</c:f>
              <c:strCache>
                <c:ptCount val="5"/>
                <c:pt idx="0">
                  <c:v>Amazon Prime</c:v>
                </c:pt>
                <c:pt idx="1">
                  <c:v>Hotstar</c:v>
                </c:pt>
                <c:pt idx="2">
                  <c:v>JioCinema</c:v>
                </c:pt>
                <c:pt idx="3">
                  <c:v>Netflix</c:v>
                </c:pt>
                <c:pt idx="4">
                  <c:v>SonyLIV</c:v>
                </c:pt>
              </c:strCache>
            </c:strRef>
          </c:cat>
          <c:val>
            <c:numRef>
              <c:f>'dash board'!$H$4:$H$8</c:f>
              <c:numCache>
                <c:formatCode>General</c:formatCode>
                <c:ptCount val="5"/>
                <c:pt idx="0">
                  <c:v>339.73999999999995</c:v>
                </c:pt>
                <c:pt idx="1">
                  <c:v>363.74999999999977</c:v>
                </c:pt>
                <c:pt idx="2">
                  <c:v>355.56999999999994</c:v>
                </c:pt>
                <c:pt idx="3">
                  <c:v>354.7999999999999</c:v>
                </c:pt>
                <c:pt idx="4">
                  <c:v>389.92</c:v>
                </c:pt>
              </c:numCache>
            </c:numRef>
          </c:val>
          <c:extLst>
            <c:ext xmlns:c16="http://schemas.microsoft.com/office/drawing/2014/chart" uri="{C3380CC4-5D6E-409C-BE32-E72D297353CC}">
              <c16:uniqueId val="{00000000-0694-4995-8531-B064E59756D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6 series</a:t>
            </a:r>
            <a:endParaRPr lang="en-US" baseline="0"/>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26288276465442"/>
          <c:y val="0.18948711168566618"/>
          <c:w val="0.63929322370615271"/>
          <c:h val="0.69150458338230114"/>
        </c:manualLayout>
      </c:layout>
      <c:bar3DChart>
        <c:barDir val="bar"/>
        <c:grouping val="stacked"/>
        <c:varyColors val="0"/>
        <c:ser>
          <c:idx val="0"/>
          <c:order val="0"/>
          <c:tx>
            <c:strRef>
              <c:f>'dash board'!$K$3</c:f>
              <c:strCache>
                <c:ptCount val="1"/>
                <c:pt idx="0">
                  <c:v>Total</c:v>
                </c:pt>
              </c:strCache>
            </c:strRef>
          </c:tx>
          <c:spPr>
            <a:solidFill>
              <a:schemeClr val="accent1"/>
            </a:solidFill>
            <a:ln>
              <a:noFill/>
            </a:ln>
            <a:effectLst/>
            <a:sp3d/>
          </c:spPr>
          <c:invertIfNegative val="0"/>
          <c:cat>
            <c:strRef>
              <c:f>'dash board'!$J$4:$J$9</c:f>
              <c:strCache>
                <c:ptCount val="6"/>
                <c:pt idx="0">
                  <c:v>24 S4</c:v>
                </c:pt>
                <c:pt idx="1">
                  <c:v>Big Bang Theory S3</c:v>
                </c:pt>
                <c:pt idx="2">
                  <c:v>How I Met Your Mother</c:v>
                </c:pt>
                <c:pt idx="3">
                  <c:v>Money Heist</c:v>
                </c:pt>
                <c:pt idx="4">
                  <c:v>Reign S3</c:v>
                </c:pt>
                <c:pt idx="5">
                  <c:v>Stranger Things</c:v>
                </c:pt>
              </c:strCache>
            </c:strRef>
          </c:cat>
          <c:val>
            <c:numRef>
              <c:f>'dash board'!$K$4:$K$9</c:f>
              <c:numCache>
                <c:formatCode>General</c:formatCode>
                <c:ptCount val="6"/>
                <c:pt idx="0">
                  <c:v>40.18</c:v>
                </c:pt>
                <c:pt idx="1">
                  <c:v>35.909999999999997</c:v>
                </c:pt>
                <c:pt idx="2">
                  <c:v>36.880000000000003</c:v>
                </c:pt>
                <c:pt idx="3">
                  <c:v>36.479999999999997</c:v>
                </c:pt>
                <c:pt idx="4">
                  <c:v>38.979999999999997</c:v>
                </c:pt>
                <c:pt idx="5">
                  <c:v>37.36</c:v>
                </c:pt>
              </c:numCache>
            </c:numRef>
          </c:val>
          <c:extLst>
            <c:ext xmlns:c16="http://schemas.microsoft.com/office/drawing/2014/chart" uri="{C3380CC4-5D6E-409C-BE32-E72D297353CC}">
              <c16:uniqueId val="{00000003-82C9-47B7-9DA8-41337080C049}"/>
            </c:ext>
          </c:extLst>
        </c:ser>
        <c:dLbls>
          <c:showLegendKey val="0"/>
          <c:showVal val="0"/>
          <c:showCatName val="0"/>
          <c:showSerName val="0"/>
          <c:showPercent val="0"/>
          <c:showBubbleSize val="0"/>
        </c:dLbls>
        <c:gapWidth val="150"/>
        <c:shape val="box"/>
        <c:axId val="1221030336"/>
        <c:axId val="1221031296"/>
        <c:axId val="0"/>
      </c:bar3DChart>
      <c:catAx>
        <c:axId val="1221030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31296"/>
        <c:crosses val="autoZero"/>
        <c:auto val="1"/>
        <c:lblAlgn val="ctr"/>
        <c:lblOffset val="100"/>
        <c:noMultiLvlLbl val="0"/>
      </c:catAx>
      <c:valAx>
        <c:axId val="1221031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3033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6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783253806336306"/>
          <c:y val="0.19306907873075008"/>
          <c:w val="0.56682896521992721"/>
          <c:h val="0.65640363502949217"/>
        </c:manualLayout>
      </c:layout>
      <c:bar3DChart>
        <c:barDir val="bar"/>
        <c:grouping val="clustered"/>
        <c:varyColors val="0"/>
        <c:ser>
          <c:idx val="0"/>
          <c:order val="0"/>
          <c:tx>
            <c:strRef>
              <c:f>'dash board'!$N$3</c:f>
              <c:strCache>
                <c:ptCount val="1"/>
                <c:pt idx="0">
                  <c:v>Total</c:v>
                </c:pt>
              </c:strCache>
            </c:strRef>
          </c:tx>
          <c:spPr>
            <a:solidFill>
              <a:schemeClr val="accent1"/>
            </a:solidFill>
            <a:ln>
              <a:noFill/>
            </a:ln>
            <a:effectLst/>
            <a:sp3d/>
          </c:spPr>
          <c:invertIfNegative val="0"/>
          <c:cat>
            <c:strRef>
              <c:f>'dash board'!$M$4:$M$9</c:f>
              <c:strCache>
                <c:ptCount val="6"/>
                <c:pt idx="0">
                  <c:v>Bard of Blood S5</c:v>
                </c:pt>
                <c:pt idx="1">
                  <c:v>Erased S6</c:v>
                </c:pt>
                <c:pt idx="2">
                  <c:v>Hometown Cha-Cha-Cha S4</c:v>
                </c:pt>
                <c:pt idx="3">
                  <c:v>Nirvana in Fire S2</c:v>
                </c:pt>
                <c:pt idx="4">
                  <c:v>Thaen S7</c:v>
                </c:pt>
                <c:pt idx="5">
                  <c:v>Tooth Pari S7</c:v>
                </c:pt>
              </c:strCache>
            </c:strRef>
          </c:cat>
          <c:val>
            <c:numRef>
              <c:f>'dash board'!$N$4:$N$9</c:f>
              <c:numCache>
                <c:formatCode>General</c:formatCode>
                <c:ptCount val="6"/>
                <c:pt idx="0">
                  <c:v>0.27</c:v>
                </c:pt>
                <c:pt idx="1">
                  <c:v>0.23</c:v>
                </c:pt>
                <c:pt idx="2">
                  <c:v>0.38</c:v>
                </c:pt>
                <c:pt idx="3">
                  <c:v>0.32</c:v>
                </c:pt>
                <c:pt idx="4">
                  <c:v>0.22</c:v>
                </c:pt>
                <c:pt idx="5">
                  <c:v>0.17</c:v>
                </c:pt>
              </c:numCache>
            </c:numRef>
          </c:val>
          <c:extLst>
            <c:ext xmlns:c16="http://schemas.microsoft.com/office/drawing/2014/chart" uri="{C3380CC4-5D6E-409C-BE32-E72D297353CC}">
              <c16:uniqueId val="{00000000-D81D-449B-BB40-B7AC5461D6D2}"/>
            </c:ext>
          </c:extLst>
        </c:ser>
        <c:dLbls>
          <c:showLegendKey val="0"/>
          <c:showVal val="0"/>
          <c:showCatName val="0"/>
          <c:showSerName val="0"/>
          <c:showPercent val="0"/>
          <c:showBubbleSize val="0"/>
        </c:dLbls>
        <c:gapWidth val="150"/>
        <c:shape val="box"/>
        <c:axId val="130146624"/>
        <c:axId val="130147104"/>
        <c:axId val="0"/>
      </c:bar3DChart>
      <c:catAx>
        <c:axId val="13014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7104"/>
        <c:crosses val="autoZero"/>
        <c:auto val="1"/>
        <c:lblAlgn val="ctr"/>
        <c:lblOffset val="100"/>
        <c:noMultiLvlLbl val="0"/>
      </c:catAx>
      <c:valAx>
        <c:axId val="13014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[dash_board project for web-series.xlsx]dash 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 in Crore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 board'!$Q$3</c:f>
              <c:strCache>
                <c:ptCount val="1"/>
                <c:pt idx="0">
                  <c:v>Total</c:v>
                </c:pt>
              </c:strCache>
            </c:strRef>
          </c:tx>
          <c:spPr>
            <a:ln w="28575" cap="rnd">
              <a:solidFill>
                <a:schemeClr val="accent1"/>
              </a:solidFill>
              <a:round/>
            </a:ln>
            <a:effectLst/>
          </c:spPr>
          <c:marker>
            <c:symbol val="none"/>
          </c:marker>
          <c:cat>
            <c:strRef>
              <c:f>'dash board'!$P$4:$P$9</c:f>
              <c:strCache>
                <c:ptCount val="6"/>
                <c:pt idx="0">
                  <c:v>Jan</c:v>
                </c:pt>
                <c:pt idx="1">
                  <c:v>Feb</c:v>
                </c:pt>
                <c:pt idx="2">
                  <c:v>Mar</c:v>
                </c:pt>
                <c:pt idx="3">
                  <c:v>Apr</c:v>
                </c:pt>
                <c:pt idx="4">
                  <c:v>May</c:v>
                </c:pt>
                <c:pt idx="5">
                  <c:v>Jun</c:v>
                </c:pt>
              </c:strCache>
            </c:strRef>
          </c:cat>
          <c:val>
            <c:numRef>
              <c:f>'dash board'!$Q$4:$Q$9</c:f>
              <c:numCache>
                <c:formatCode>General</c:formatCode>
                <c:ptCount val="6"/>
                <c:pt idx="0">
                  <c:v>609.62000000000012</c:v>
                </c:pt>
                <c:pt idx="1">
                  <c:v>887.47</c:v>
                </c:pt>
                <c:pt idx="2">
                  <c:v>683.62</c:v>
                </c:pt>
                <c:pt idx="3">
                  <c:v>828.19999999999982</c:v>
                </c:pt>
                <c:pt idx="4">
                  <c:v>780.6099999999999</c:v>
                </c:pt>
                <c:pt idx="5">
                  <c:v>719.91000000000008</c:v>
                </c:pt>
              </c:numCache>
            </c:numRef>
          </c:val>
          <c:smooth val="0"/>
          <c:extLst>
            <c:ext xmlns:c16="http://schemas.microsoft.com/office/drawing/2014/chart" uri="{C3380CC4-5D6E-409C-BE32-E72D297353CC}">
              <c16:uniqueId val="{00000000-0845-41A1-9988-E72039CC2F21}"/>
            </c:ext>
          </c:extLst>
        </c:ser>
        <c:dLbls>
          <c:showLegendKey val="0"/>
          <c:showVal val="0"/>
          <c:showCatName val="0"/>
          <c:showSerName val="0"/>
          <c:showPercent val="0"/>
          <c:showBubbleSize val="0"/>
        </c:dLbls>
        <c:smooth val="0"/>
        <c:axId val="205135968"/>
        <c:axId val="205136448"/>
      </c:lineChart>
      <c:catAx>
        <c:axId val="20513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6448"/>
        <c:crosses val="autoZero"/>
        <c:auto val="1"/>
        <c:lblAlgn val="ctr"/>
        <c:lblOffset val="100"/>
        <c:noMultiLvlLbl val="0"/>
      </c:catAx>
      <c:valAx>
        <c:axId val="20513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15240</xdr:colOff>
      <xdr:row>3</xdr:row>
      <xdr:rowOff>76200</xdr:rowOff>
    </xdr:from>
    <xdr:to>
      <xdr:col>7</xdr:col>
      <xdr:colOff>38100</xdr:colOff>
      <xdr:row>13</xdr:row>
      <xdr:rowOff>68580</xdr:rowOff>
    </xdr:to>
    <xdr:graphicFrame macro="">
      <xdr:nvGraphicFramePr>
        <xdr:cNvPr id="2" name="Chart 1">
          <a:extLst>
            <a:ext uri="{FF2B5EF4-FFF2-40B4-BE49-F238E27FC236}">
              <a16:creationId xmlns:a16="http://schemas.microsoft.com/office/drawing/2014/main" id="{74488ED4-B263-44D6-9A64-0BFA8E6C6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160020</xdr:colOff>
      <xdr:row>3</xdr:row>
      <xdr:rowOff>76200</xdr:rowOff>
    </xdr:from>
    <xdr:to>
      <xdr:col>12</xdr:col>
      <xdr:colOff>289560</xdr:colOff>
      <xdr:row>13</xdr:row>
      <xdr:rowOff>60960</xdr:rowOff>
    </xdr:to>
    <xdr:graphicFrame macro="">
      <xdr:nvGraphicFramePr>
        <xdr:cNvPr id="3" name="Chart 2">
          <a:extLst>
            <a:ext uri="{FF2B5EF4-FFF2-40B4-BE49-F238E27FC236}">
              <a16:creationId xmlns:a16="http://schemas.microsoft.com/office/drawing/2014/main" id="{90E74646-F413-47EE-8D50-B03B46DA0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434340</xdr:colOff>
      <xdr:row>3</xdr:row>
      <xdr:rowOff>91440</xdr:rowOff>
    </xdr:from>
    <xdr:to>
      <xdr:col>17</xdr:col>
      <xdr:colOff>502920</xdr:colOff>
      <xdr:row>13</xdr:row>
      <xdr:rowOff>60960</xdr:rowOff>
    </xdr:to>
    <xdr:graphicFrame macro="">
      <xdr:nvGraphicFramePr>
        <xdr:cNvPr id="4" name="Chart 3">
          <a:extLst>
            <a:ext uri="{FF2B5EF4-FFF2-40B4-BE49-F238E27FC236}">
              <a16:creationId xmlns:a16="http://schemas.microsoft.com/office/drawing/2014/main" id="{24115700-1E2A-412B-AE87-496995E25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13</xdr:row>
      <xdr:rowOff>152400</xdr:rowOff>
    </xdr:from>
    <xdr:to>
      <xdr:col>7</xdr:col>
      <xdr:colOff>53340</xdr:colOff>
      <xdr:row>24</xdr:row>
      <xdr:rowOff>15240</xdr:rowOff>
    </xdr:to>
    <xdr:graphicFrame macro="">
      <xdr:nvGraphicFramePr>
        <xdr:cNvPr id="5" name="Chart 4">
          <a:extLst>
            <a:ext uri="{FF2B5EF4-FFF2-40B4-BE49-F238E27FC236}">
              <a16:creationId xmlns:a16="http://schemas.microsoft.com/office/drawing/2014/main" id="{1CD2ED22-C827-439E-87F2-67B34C79D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160020</xdr:colOff>
      <xdr:row>13</xdr:row>
      <xdr:rowOff>152400</xdr:rowOff>
    </xdr:from>
    <xdr:to>
      <xdr:col>12</xdr:col>
      <xdr:colOff>297180</xdr:colOff>
      <xdr:row>24</xdr:row>
      <xdr:rowOff>7620</xdr:rowOff>
    </xdr:to>
    <xdr:graphicFrame macro="">
      <xdr:nvGraphicFramePr>
        <xdr:cNvPr id="6" name="Chart 5">
          <a:extLst>
            <a:ext uri="{FF2B5EF4-FFF2-40B4-BE49-F238E27FC236}">
              <a16:creationId xmlns:a16="http://schemas.microsoft.com/office/drawing/2014/main" id="{1BF0346F-D44B-4841-BAFF-8B4C47036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441960</xdr:colOff>
      <xdr:row>13</xdr:row>
      <xdr:rowOff>175261</xdr:rowOff>
    </xdr:from>
    <xdr:to>
      <xdr:col>17</xdr:col>
      <xdr:colOff>518160</xdr:colOff>
      <xdr:row>24</xdr:row>
      <xdr:rowOff>7620</xdr:rowOff>
    </xdr:to>
    <xdr:graphicFrame macro="">
      <xdr:nvGraphicFramePr>
        <xdr:cNvPr id="7" name="Chart 6">
          <a:extLst>
            <a:ext uri="{FF2B5EF4-FFF2-40B4-BE49-F238E27FC236}">
              <a16:creationId xmlns:a16="http://schemas.microsoft.com/office/drawing/2014/main" id="{4EE824FC-68CB-4D47-933B-ADBFAA487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350520</xdr:colOff>
      <xdr:row>1</xdr:row>
      <xdr:rowOff>7620</xdr:rowOff>
    </xdr:from>
    <xdr:to>
      <xdr:col>20</xdr:col>
      <xdr:colOff>98448</xdr:colOff>
      <xdr:row>2</xdr:row>
      <xdr:rowOff>327660</xdr:rowOff>
    </xdr:to>
    <mc:AlternateContent xmlns:mc="http://schemas.openxmlformats.org/markup-compatibility/2006">
      <mc:Choice xmlns:a14="http://schemas.microsoft.com/office/drawing/2010/main" Requires="a14">
        <xdr:graphicFrame macro="">
          <xdr:nvGraphicFramePr>
            <xdr:cNvPr id="10" name="Months (date)">
              <a:extLst>
                <a:ext uri="{FF2B5EF4-FFF2-40B4-BE49-F238E27FC236}">
                  <a16:creationId xmlns:a16="http://schemas.microsoft.com/office/drawing/2014/main" id="{11B3BDF6-2ACF-1AA7-9F26-1A91729C8A5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963623" y="576930"/>
              <a:ext cx="11396894" cy="644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13</xdr:row>
      <xdr:rowOff>99060</xdr:rowOff>
    </xdr:from>
    <xdr:to>
      <xdr:col>3</xdr:col>
      <xdr:colOff>754380</xdr:colOff>
      <xdr:row>24</xdr:row>
      <xdr:rowOff>60960</xdr:rowOff>
    </xdr:to>
    <xdr:graphicFrame macro="">
      <xdr:nvGraphicFramePr>
        <xdr:cNvPr id="2" name="Chart 1">
          <a:extLst>
            <a:ext uri="{FF2B5EF4-FFF2-40B4-BE49-F238E27FC236}">
              <a16:creationId xmlns:a16="http://schemas.microsoft.com/office/drawing/2014/main" id="{FCEB5185-F0BD-B712-EEA1-21B17DC98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1013460</xdr:colOff>
      <xdr:row>13</xdr:row>
      <xdr:rowOff>91440</xdr:rowOff>
    </xdr:from>
    <xdr:to>
      <xdr:col>7</xdr:col>
      <xdr:colOff>754380</xdr:colOff>
      <xdr:row>24</xdr:row>
      <xdr:rowOff>83820</xdr:rowOff>
    </xdr:to>
    <xdr:graphicFrame macro="">
      <xdr:nvGraphicFramePr>
        <xdr:cNvPr id="3" name="Chart 2">
          <a:extLst>
            <a:ext uri="{FF2B5EF4-FFF2-40B4-BE49-F238E27FC236}">
              <a16:creationId xmlns:a16="http://schemas.microsoft.com/office/drawing/2014/main" id="{EF160810-F22C-89F6-4211-73133FE60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129540</xdr:colOff>
      <xdr:row>13</xdr:row>
      <xdr:rowOff>99060</xdr:rowOff>
    </xdr:from>
    <xdr:to>
      <xdr:col>10</xdr:col>
      <xdr:colOff>1165860</xdr:colOff>
      <xdr:row>24</xdr:row>
      <xdr:rowOff>91440</xdr:rowOff>
    </xdr:to>
    <xdr:graphicFrame macro="">
      <xdr:nvGraphicFramePr>
        <xdr:cNvPr id="4" name="Chart 3">
          <a:extLst>
            <a:ext uri="{FF2B5EF4-FFF2-40B4-BE49-F238E27FC236}">
              <a16:creationId xmlns:a16="http://schemas.microsoft.com/office/drawing/2014/main" id="{2B982CA7-C643-F537-6E41-BB7EA2C4D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1394460</xdr:colOff>
      <xdr:row>13</xdr:row>
      <xdr:rowOff>60960</xdr:rowOff>
    </xdr:from>
    <xdr:to>
      <xdr:col>13</xdr:col>
      <xdr:colOff>1188720</xdr:colOff>
      <xdr:row>24</xdr:row>
      <xdr:rowOff>91440</xdr:rowOff>
    </xdr:to>
    <xdr:graphicFrame macro="">
      <xdr:nvGraphicFramePr>
        <xdr:cNvPr id="7" name="Chart 6">
          <a:extLst>
            <a:ext uri="{FF2B5EF4-FFF2-40B4-BE49-F238E27FC236}">
              <a16:creationId xmlns:a16="http://schemas.microsoft.com/office/drawing/2014/main" id="{6BC800C1-F0AF-EE5F-628B-0667B7D75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1463040</xdr:colOff>
      <xdr:row>13</xdr:row>
      <xdr:rowOff>0</xdr:rowOff>
    </xdr:from>
    <xdr:to>
      <xdr:col>19</xdr:col>
      <xdr:colOff>342900</xdr:colOff>
      <xdr:row>24</xdr:row>
      <xdr:rowOff>114300</xdr:rowOff>
    </xdr:to>
    <xdr:graphicFrame macro="">
      <xdr:nvGraphicFramePr>
        <xdr:cNvPr id="6" name="Chart 5">
          <a:extLst>
            <a:ext uri="{FF2B5EF4-FFF2-40B4-BE49-F238E27FC236}">
              <a16:creationId xmlns:a16="http://schemas.microsoft.com/office/drawing/2014/main" id="{900D7866-D85A-A358-9E23-0C72AEFDB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1338824</xdr:colOff>
      <xdr:row>29</xdr:row>
      <xdr:rowOff>35595</xdr:rowOff>
    </xdr:from>
    <xdr:to>
      <xdr:col>16</xdr:col>
      <xdr:colOff>27870</xdr:colOff>
      <xdr:row>41</xdr:row>
      <xdr:rowOff>20355</xdr:rowOff>
    </xdr:to>
    <xdr:graphicFrame macro="">
      <xdr:nvGraphicFramePr>
        <xdr:cNvPr id="8" name="Chart 7">
          <a:extLst>
            <a:ext uri="{FF2B5EF4-FFF2-40B4-BE49-F238E27FC236}">
              <a16:creationId xmlns:a16="http://schemas.microsoft.com/office/drawing/2014/main" id="{363DF8BC-8865-F6C0-2BD0-B25741891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AV TYAGI" refreshedDate="46128.750986342595" createdVersion="8" refreshedVersion="8" minRefreshableVersion="3" recordCount="500" xr:uid="{A02F824F-3393-46C7-BE1C-2A79577752B6}">
  <cacheSource type="worksheet">
    <worksheetSource ref="A1:L501" sheet="Web Series Ratings"/>
  </cacheSource>
  <cacheFields count="14">
    <cacheField name="S.No" numFmtId="0">
      <sharedItems containsSemiMixedTypes="0" containsString="0" containsNumber="1" containsInteger="1" minValue="1" maxValue="500"/>
    </cacheField>
    <cacheField name="date" numFmtId="168">
      <sharedItems containsSemiMixedTypes="0" containsNonDate="0" containsDate="1" containsString="0" minDate="2025-01-01T00:00:00" maxDate="2025-07-01T00:00:00" count="165">
        <d v="2025-04-14T00:00:00"/>
        <d v="2025-04-08T00:00:00"/>
        <d v="2025-02-21T00:00:00"/>
        <d v="2025-06-03T00:00:00"/>
        <d v="2025-02-15T00:00:00"/>
        <d v="2025-02-28T00:00:00"/>
        <d v="2025-03-05T00:00:00"/>
        <d v="2025-02-04T00:00:00"/>
        <d v="2025-01-23T00:00:00"/>
        <d v="2025-03-06T00:00:00"/>
        <d v="2025-04-09T00:00:00"/>
        <d v="2025-05-16T00:00:00"/>
        <d v="2025-06-25T00:00:00"/>
        <d v="2025-06-29T00:00:00"/>
        <d v="2025-05-18T00:00:00"/>
        <d v="2025-06-09T00:00:00"/>
        <d v="2025-05-06T00:00:00"/>
        <d v="2025-04-18T00:00:00"/>
        <d v="2025-06-06T00:00:00"/>
        <d v="2025-05-31T00:00:00"/>
        <d v="2025-02-25T00:00:00"/>
        <d v="2025-04-06T00:00:00"/>
        <d v="2025-04-10T00:00:00"/>
        <d v="2025-06-24T00:00:00"/>
        <d v="2025-02-24T00:00:00"/>
        <d v="2025-02-08T00:00:00"/>
        <d v="2025-04-29T00:00:00"/>
        <d v="2025-06-19T00:00:00"/>
        <d v="2025-05-26T00:00:00"/>
        <d v="2025-03-28T00:00:00"/>
        <d v="2025-01-22T00:00:00"/>
        <d v="2025-06-23T00:00:00"/>
        <d v="2025-05-01T00:00:00"/>
        <d v="2025-03-22T00:00:00"/>
        <d v="2025-01-11T00:00:00"/>
        <d v="2025-03-10T00:00:00"/>
        <d v="2025-05-23T00:00:00"/>
        <d v="2025-01-02T00:00:00"/>
        <d v="2025-04-19T00:00:00"/>
        <d v="2025-02-22T00:00:00"/>
        <d v="2025-04-03T00:00:00"/>
        <d v="2025-05-17T00:00:00"/>
        <d v="2025-01-21T00:00:00"/>
        <d v="2025-05-13T00:00:00"/>
        <d v="2025-02-20T00:00:00"/>
        <d v="2025-06-05T00:00:00"/>
        <d v="2025-01-14T00:00:00"/>
        <d v="2025-04-02T00:00:00"/>
        <d v="2025-02-03T00:00:00"/>
        <d v="2025-02-11T00:00:00"/>
        <d v="2025-04-24T00:00:00"/>
        <d v="2025-06-02T00:00:00"/>
        <d v="2025-05-09T00:00:00"/>
        <d v="2025-01-10T00:00:00"/>
        <d v="2025-01-29T00:00:00"/>
        <d v="2025-01-06T00:00:00"/>
        <d v="2025-02-13T00:00:00"/>
        <d v="2025-05-02T00:00:00"/>
        <d v="2025-06-11T00:00:00"/>
        <d v="2025-02-06T00:00:00"/>
        <d v="2025-03-21T00:00:00"/>
        <d v="2025-06-08T00:00:00"/>
        <d v="2025-03-26T00:00:00"/>
        <d v="2025-05-14T00:00:00"/>
        <d v="2025-01-15T00:00:00"/>
        <d v="2025-06-13T00:00:00"/>
        <d v="2025-03-07T00:00:00"/>
        <d v="2025-05-20T00:00:00"/>
        <d v="2025-02-02T00:00:00"/>
        <d v="2025-04-01T00:00:00"/>
        <d v="2025-06-27T00:00:00"/>
        <d v="2025-04-15T00:00:00"/>
        <d v="2025-02-01T00:00:00"/>
        <d v="2025-01-25T00:00:00"/>
        <d v="2025-01-31T00:00:00"/>
        <d v="2025-03-17T00:00:00"/>
        <d v="2025-02-14T00:00:00"/>
        <d v="2025-02-07T00:00:00"/>
        <d v="2025-02-23T00:00:00"/>
        <d v="2025-05-24T00:00:00"/>
        <d v="2025-03-23T00:00:00"/>
        <d v="2025-05-08T00:00:00"/>
        <d v="2025-03-01T00:00:00"/>
        <d v="2025-02-17T00:00:00"/>
        <d v="2025-01-19T00:00:00"/>
        <d v="2025-03-15T00:00:00"/>
        <d v="2025-01-03T00:00:00"/>
        <d v="2025-05-30T00:00:00"/>
        <d v="2025-01-13T00:00:00"/>
        <d v="2025-04-07T00:00:00"/>
        <d v="2025-04-13T00:00:00"/>
        <d v="2025-04-17T00:00:00"/>
        <d v="2025-04-05T00:00:00"/>
        <d v="2025-01-24T00:00:00"/>
        <d v="2025-02-16T00:00:00"/>
        <d v="2025-06-17T00:00:00"/>
        <d v="2025-02-27T00:00:00"/>
        <d v="2025-01-28T00:00:00"/>
        <d v="2025-06-26T00:00:00"/>
        <d v="2025-06-22T00:00:00"/>
        <d v="2025-04-23T00:00:00"/>
        <d v="2025-01-18T00:00:00"/>
        <d v="2025-03-24T00:00:00"/>
        <d v="2025-05-03T00:00:00"/>
        <d v="2025-04-21T00:00:00"/>
        <d v="2025-03-16T00:00:00"/>
        <d v="2025-06-18T00:00:00"/>
        <d v="2025-02-10T00:00:00"/>
        <d v="2025-03-14T00:00:00"/>
        <d v="2025-06-04T00:00:00"/>
        <d v="2025-06-20T00:00:00"/>
        <d v="2025-02-19T00:00:00"/>
        <d v="2025-03-30T00:00:00"/>
        <d v="2025-03-08T00:00:00"/>
        <d v="2025-06-30T00:00:00"/>
        <d v="2025-01-01T00:00:00"/>
        <d v="2025-02-12T00:00:00"/>
        <d v="2025-05-11T00:00:00"/>
        <d v="2025-03-09T00:00:00"/>
        <d v="2025-04-30T00:00:00"/>
        <d v="2025-06-10T00:00:00"/>
        <d v="2025-01-27T00:00:00"/>
        <d v="2025-03-20T00:00:00"/>
        <d v="2025-01-20T00:00:00"/>
        <d v="2025-05-29T00:00:00"/>
        <d v="2025-01-09T00:00:00"/>
        <d v="2025-03-18T00:00:00"/>
        <d v="2025-05-28T00:00:00"/>
        <d v="2025-01-26T00:00:00"/>
        <d v="2025-04-12T00:00:00"/>
        <d v="2025-04-28T00:00:00"/>
        <d v="2025-04-25T00:00:00"/>
        <d v="2025-03-12T00:00:00"/>
        <d v="2025-05-27T00:00:00"/>
        <d v="2025-03-03T00:00:00"/>
        <d v="2025-01-04T00:00:00"/>
        <d v="2025-01-30T00:00:00"/>
        <d v="2025-05-07T00:00:00"/>
        <d v="2025-03-27T00:00:00"/>
        <d v="2025-06-12T00:00:00"/>
        <d v="2025-04-16T00:00:00"/>
        <d v="2025-03-29T00:00:00"/>
        <d v="2025-06-28T00:00:00"/>
        <d v="2025-02-18T00:00:00"/>
        <d v="2025-05-05T00:00:00"/>
        <d v="2025-03-11T00:00:00"/>
        <d v="2025-04-04T00:00:00"/>
        <d v="2025-02-05T00:00:00"/>
        <d v="2025-05-12T00:00:00"/>
        <d v="2025-06-15T00:00:00"/>
        <d v="2025-06-07T00:00:00"/>
        <d v="2025-04-22T00:00:00"/>
        <d v="2025-06-14T00:00:00"/>
        <d v="2025-03-02T00:00:00"/>
        <d v="2025-01-12T00:00:00"/>
        <d v="2025-04-20T00:00:00"/>
        <d v="2025-03-25T00:00:00"/>
        <d v="2025-05-21T00:00:00"/>
        <d v="2025-01-05T00:00:00"/>
        <d v="2025-05-15T00:00:00"/>
        <d v="2025-05-25T00:00:00"/>
        <d v="2025-01-08T00:00:00"/>
        <d v="2025-01-16T00:00:00"/>
        <d v="2025-06-16T00:00:00"/>
        <d v="2025-05-10T00:00:00"/>
      </sharedItems>
      <fieldGroup par="13"/>
    </cacheField>
    <cacheField name="Industry" numFmtId="0">
      <sharedItems count="5">
        <s v="Tollywood"/>
        <s v="Chinese"/>
        <s v="Bollywood"/>
        <s v="Hollywood"/>
        <s v="Japanese"/>
      </sharedItems>
    </cacheField>
    <cacheField name="Web Series Name" numFmtId="0">
      <sharedItems count="498">
        <s v="The Family Man"/>
        <s v="The Rise of Phoenixes"/>
        <s v="Tandav"/>
        <s v="Farhana"/>
        <s v="Grahan"/>
        <s v="Kaala Paani"/>
        <s v="Downton Abbey"/>
        <s v="The Office"/>
        <s v="Feels Like Ishq"/>
        <s v="Seinfeld"/>
        <s v="Arsenal Military Academy"/>
        <s v="Giri/Haji"/>
        <s v="Special Ops"/>
        <s v="Succession"/>
        <s v="Hospital Playlist"/>
        <s v="Longest Day in Chang'an"/>
        <s v="Navarasa"/>
        <s v="Mindhunter"/>
        <s v="Abbott Elementary"/>
        <s v="Giri/Haji S2"/>
        <s v="Suits"/>
        <s v="Black Mirror"/>
        <s v="Ancient Love Poetry"/>
        <s v="Crash Course"/>
        <s v="Itaewon Class"/>
        <s v="Vikings"/>
        <s v="How I Met Your Mother"/>
        <s v="The Tudors"/>
        <s v="Dark"/>
        <s v="Porinju Mariam Jose"/>
        <s v="Kana Kaanum Kaalangal"/>
        <s v="Westworld"/>
        <s v="Tandav S2"/>
        <s v="The Good Place"/>
        <s v="Kota Factory"/>
        <s v="Followers"/>
        <s v="Maharani"/>
        <s v="Wednesday"/>
        <s v="Oh My Kadavule"/>
        <s v="Arsenal Military Academy S2"/>
        <s v="Hawkeye"/>
        <s v="Nenjam Marappathillai"/>
        <s v="Thaen"/>
        <s v="Doctors"/>
        <s v="KD"/>
        <s v="Nenjam Marappathillai S2"/>
        <s v="Downton Abbey S2"/>
        <s v="Gargi"/>
        <s v="Thaen S2"/>
        <s v="Loot"/>
        <s v="Feels Like Ishq S2"/>
        <s v="Followers S2"/>
        <s v="The Bear"/>
        <s v="Khakee"/>
        <s v="Suits S2"/>
        <s v="Lost"/>
        <s v="Iraivan"/>
        <s v="Gargi S2"/>
        <s v="Love O2O"/>
        <s v="The Family Man S2"/>
        <s v="Ashes of Love"/>
        <s v="TVF Pitchers"/>
        <s v="November Story"/>
        <s v="TVF Pitchers S2"/>
        <s v="Rocket Boys"/>
        <s v="WandaVision"/>
        <s v="November Story S2"/>
        <s v="Novoland Eagle Flag"/>
        <s v="Doreiku"/>
        <s v="Delhi Crime"/>
        <s v="Million Yen Women"/>
        <s v="Outlander"/>
        <s v="Sweet Combat"/>
        <s v="Doctors S2"/>
        <s v="Doctors S3"/>
        <s v="Thaen S3"/>
        <s v="Dark S2"/>
        <s v="Rings of Power"/>
        <s v="Soorarai Pottru"/>
        <s v="Jamtara"/>
        <s v="Trial By Fire"/>
        <s v="Signal"/>
        <s v="24"/>
        <s v="Meteor Garden"/>
        <s v="Doreiku S2"/>
        <s v="A Love So Beautiful"/>
        <s v="Tabbar"/>
        <s v="B: The Beginning"/>
        <s v="Delhi Crime S2"/>
        <s v="Undekhi"/>
        <s v="Mudhal Nee Mudivum Nee"/>
        <s v="Invincible"/>
        <s v="Rings of Power S2"/>
        <s v="Porinju Mariam Jose S2"/>
        <s v="Bard of Blood"/>
        <s v="Aspirants"/>
        <s v="Itaewon Class S2"/>
        <s v="The Story of Ming Lan"/>
        <s v="Farhana S2"/>
        <s v="The Tudors S2"/>
        <s v="Ashes of Love S2"/>
        <s v="Wednesday S2"/>
        <s v="The Story of Ming Lan S2"/>
        <s v="Khakee S2"/>
        <s v="The Office S2"/>
        <s v="Vadhandhi"/>
        <s v="Ancient Love Poetry S2"/>
        <s v="Mandela"/>
        <s v="Rings of Power S3"/>
        <s v="Special Ops S2"/>
        <s v="The Bad Kids"/>
        <s v="Scam 1992"/>
        <s v="Kota Factory S2"/>
        <s v="A Love So Beautiful S2"/>
        <s v="Erased"/>
        <s v="Ultraman"/>
        <s v="Kaamathenu"/>
        <s v="Tooth Pari"/>
        <s v="Money Heist"/>
        <s v="Maharani S2"/>
        <s v="Squid Game"/>
        <s v="Kengan Ashura"/>
        <s v="Sherlock"/>
        <s v="Big Bang Theory"/>
        <s v="Joy of Life"/>
        <s v="Altered Carbon"/>
        <s v="Wednesday S3"/>
        <s v="Triples"/>
        <s v="Seinfeld S2"/>
        <s v="Bridgerton"/>
        <s v="Kota Factory S3"/>
        <s v="Crash Course S2"/>
        <s v="Crash Landing on You"/>
        <s v="Stranger Things"/>
        <s v="Abhay"/>
        <s v="Andor"/>
        <s v="Ozark"/>
        <s v="Arsenal Military Academy S3"/>
        <s v="Erased S2"/>
        <s v="Aarya"/>
        <s v="Atelier"/>
        <s v="Kota Factory S4"/>
        <s v="Iravaakaalam"/>
        <s v="Penguin"/>
        <s v="Kumbalangi Nights"/>
        <s v="Princess Silver"/>
        <s v="Prison Break"/>
        <s v="Dark S3"/>
        <s v="Erased S3"/>
        <s v="WandaVision S2"/>
        <s v="November Story S3"/>
        <s v="Terrace House"/>
        <s v="Altered Carbon S2"/>
        <s v="You Are My Glory"/>
        <s v="The Makanai"/>
        <s v="Frasier"/>
        <s v="Crash Course S3"/>
        <s v="Midnight Diner"/>
        <s v="Inside Edge"/>
        <s v="Kaamathenu S2"/>
        <s v="Lost S2"/>
        <s v="Lost S3"/>
        <s v="24 S2"/>
        <s v="Meteor Garden S2"/>
        <s v="Ozark S2"/>
        <s v="Nenjam Marappathillai S3"/>
        <s v="Money Heist S2"/>
        <s v="Novoland Eagle Flag S2"/>
        <s v="Accidentally in Love"/>
        <s v="Mindhunter S2"/>
        <s v="House of Cards"/>
        <s v="Move to Heaven"/>
        <s v="Jamtara S2"/>
        <s v="Special Ops S3"/>
        <s v="Delhi Crime S3"/>
        <s v="Seinfeld S3"/>
        <s v="Tooth Pari S2"/>
        <s v="Arsenal Military Academy S4"/>
        <s v="Crash Landing on You S2"/>
        <s v="The Mandalorian"/>
        <s v="Iraivan S2"/>
        <s v="The Boys"/>
        <s v="First Love"/>
        <s v="First Love S2"/>
        <s v="Human"/>
        <s v="Delhi Crime S4"/>
        <s v="Ultraman S2"/>
        <s v="Maharani S3"/>
        <s v="Big Bang Theory S2"/>
        <s v="The Rise of Phoenixes S2"/>
        <s v="Black Mirror S2"/>
        <s v="Rings of Power S4"/>
        <s v="Erased S4"/>
        <s v="Vadhandhi S2"/>
        <s v="Euphoria"/>
        <s v="Jubilee"/>
        <s v="Loot S2"/>
        <s v="Invincible S2"/>
        <s v="Crash Landing on You S3"/>
        <s v="Big Bang Theory S3"/>
        <s v="Rings of Power S5"/>
        <s v="Nirvana in Fire"/>
        <s v="Reply 1988"/>
        <s v="The Mandalorian S2"/>
        <s v="Crash Landing on You S4"/>
        <s v="Tooth Pari S3"/>
        <s v="Rocket Boys S2"/>
        <s v="Hawkeye S2"/>
        <s v="Queen"/>
        <s v="Doctors S4"/>
        <s v="Ashes of Love S3"/>
        <s v="Giri/Haji S3"/>
        <s v="Money Heist S3"/>
        <s v="Kengan Ashura S2"/>
        <s v="Ashes of Love S4"/>
        <s v="The Bear S2"/>
        <s v="Ju-On Origins"/>
        <s v="Signal S2"/>
        <s v="Panchayat"/>
        <s v="Dexter"/>
        <s v="Hometown Cha-Cha-Cha"/>
        <s v="Grahan S2"/>
        <s v="Sweet Combat S2"/>
        <s v="Guns &amp; Gulaabs"/>
        <s v="Move to Heaven S2"/>
        <s v="Adhura"/>
        <s v="Dexter S2"/>
        <s v="Mandela S2"/>
        <s v="The Naked Director"/>
        <s v="B: The Beginning S2"/>
        <s v="You Are My Glory S2"/>
        <s v="House of Cards S2"/>
        <s v="Vincenzo"/>
        <s v="Crash Course S4"/>
        <s v="Ashes of Love S5"/>
        <s v="Kohrra"/>
        <s v="All of Us Are Dead"/>
        <s v="Mudhal Nee Mudivum Nee S2"/>
        <s v="How I Met Your Mother S2"/>
        <s v="You Are My Glory S3"/>
        <s v="Hostages"/>
        <s v="Sacred Games"/>
        <s v="Ozark S3"/>
        <s v="Reign"/>
        <s v="Big Bang Theory S4"/>
        <s v="College Romance"/>
        <s v="Crash Landing on You S5"/>
        <s v="Veyil"/>
        <s v="Kana Kaanum Kaalangal S2"/>
        <s v="The Office S3"/>
        <s v="Terrace House S2"/>
        <s v="Erased S5"/>
        <s v="Hometown Cha-Cha-Cha S2"/>
        <s v="All of Us Are Dead S2"/>
        <s v="Tooth Pari S4"/>
        <s v="Frasier S2"/>
        <s v="Ultraman S3"/>
        <s v="Porinju Mariam Jose S3"/>
        <s v="House of Cards S3"/>
        <s v="The Family Man S3"/>
        <s v="Doctors S5"/>
        <s v="Guns &amp; Gulaabs S2"/>
        <s v="Loki"/>
        <s v="Scam 1992 S2"/>
        <s v="You Are My Glory S4"/>
        <s v="B: The Beginning S3"/>
        <s v="Eternal Love"/>
        <s v="Go Princess Go"/>
        <s v="Bard of Blood S2"/>
        <s v="Pariyerum Perumal"/>
        <s v="Word of Honor"/>
        <s v="Thaen S4"/>
        <s v="Go Ahead"/>
        <s v="Kaala Paani S2"/>
        <s v="Altered Carbon S3"/>
        <s v="Breaking Bad"/>
        <s v="Brooklyn Nine-Nine"/>
        <s v="Narcos"/>
        <s v="The Story of Ming Lan S3"/>
        <s v="Pathu Thala"/>
        <s v="Kohrra S2"/>
        <s v="The Crown"/>
        <s v="Ice Fantasy"/>
        <s v="Ashes of Love S6"/>
        <s v="Ice Fantasy S2"/>
        <s v="Go Princess Go S2"/>
        <s v="Human S2"/>
        <s v="Succession S2"/>
        <s v="Emily in Paris"/>
        <s v="Bard of Blood S3"/>
        <s v="Khakee S3"/>
        <s v="Succession S3"/>
        <s v="Reply 1988 S2"/>
        <s v="The Bear S3"/>
        <s v="Crash Course S5"/>
        <s v="Doreiku S3"/>
        <s v="Ten Miles of Peach Blossoms"/>
        <s v="November Story S4"/>
        <s v="Bard of Blood S4"/>
        <s v="Nenjam Marappathillai S4"/>
        <s v="9"/>
        <s v="Go Ahead S2"/>
        <s v="Sherlock S2"/>
        <s v="Tooth Pari S5"/>
        <s v="The Boys S2"/>
        <s v="Aarya S2"/>
        <s v="Invincible S3"/>
        <s v="Jamtara S3"/>
        <s v="Suits S3"/>
        <s v="Altered Carbon S4"/>
        <s v="Arya"/>
        <s v="Reign S2"/>
        <s v="Love O2O S2"/>
        <s v="Terrace House S3"/>
        <s v="Nothing But Thirty"/>
        <s v="Obi-Wan Kenobi"/>
        <s v="The Family Man S4"/>
        <s v="Abhay S2"/>
        <s v="Westworld S2"/>
        <s v="Tooth Pari S6"/>
        <s v="Altered Carbon S5"/>
        <s v="Vincenzo S2"/>
        <s v="Maharani S4"/>
        <s v="Followers S3"/>
        <s v="Hostages S2"/>
        <s v="Game of Thrones"/>
        <s v="Samurai Gourmet"/>
        <s v="Giri/Haji S4"/>
        <s v="Hometown Cha-Cha-Cha S3"/>
        <s v="Suits S4"/>
        <s v="Put Your Head on My Shoulder"/>
        <s v="Sanctuary"/>
        <s v="Rudra"/>
        <s v="Tabbar S2"/>
        <s v="House of Cards S4"/>
        <s v="Ratsasan"/>
        <s v="House of Cards S5"/>
        <s v="Dark S4"/>
        <s v="Word of Honor S2"/>
        <s v="Emily in Paris S2"/>
        <s v="Emily in Paris S3"/>
        <s v="Special Ops S4"/>
        <s v="Downton Abbey S3"/>
        <s v="Kengan Ashura S3"/>
        <s v="Samurai Gourmet S2"/>
        <s v="Reply 1988 S3"/>
        <s v="Breathe"/>
        <s v="Aarya 2"/>
        <s v="Guns &amp; Gulaabs S3"/>
        <s v="Guns &amp; Gulaabs S4"/>
        <s v="Vikings S2"/>
        <s v="Reign S3"/>
        <s v="Scam 1992 S3"/>
        <s v="The Bad Kids S2"/>
        <s v="Vincenzo S3"/>
        <s v="Downton Abbey S4"/>
        <s v="24 S3"/>
        <s v="Wednesday S4"/>
        <s v="Prison Break S2"/>
        <s v="Thaen S5"/>
        <s v="Big Bang Theory S5"/>
        <s v="Erased S6"/>
        <s v="Iraivan S3"/>
        <s v="Giri/Haji S5"/>
        <s v="Reply 1988 S4"/>
        <s v="Panchayat S2"/>
        <s v="Brooklyn Nine-Nine S2"/>
        <s v="Mindhunter S3"/>
        <s v="Black Mirror S3"/>
        <s v="Outlander S2"/>
        <s v="The Story of Ming Lan S4"/>
        <s v="The Story of Ming Lan S5"/>
        <s v="Go Princess Go S3"/>
        <s v="Ice Fantasy S3"/>
        <s v="Lost S4"/>
        <s v="Escaype Live"/>
        <s v="Aspirants S2"/>
        <s v="Penguin S2"/>
        <s v="Parks and Recreation"/>
        <s v="Pariyerum Perumal S2"/>
        <s v="Sanctuary S2"/>
        <s v="November Story S5"/>
        <s v="Tabbar S3"/>
        <s v="9 S2"/>
        <s v="Nirvana in Fire S2"/>
        <s v="B: The Beginning S4"/>
        <s v="Parks and Recreation S2"/>
        <s v="Joy of Life S2"/>
        <s v="Move to Heaven S3"/>
        <s v="Porinju Mariam Jose S4"/>
        <s v="Sanctuary S3"/>
        <s v="Succession S4"/>
        <s v="Doctors S6"/>
        <s v="The Naked Director S2"/>
        <s v="Million Yen Women S2"/>
        <s v="The Tudors S3"/>
        <s v="Kota Factory S5"/>
        <s v="Go Ahead S3"/>
        <s v="Big Bang Theory S6"/>
        <s v="Aspirants S3"/>
        <s v="Downton Abbey S5"/>
        <s v="Well-Intended Love"/>
        <s v="Samurai Gourmet S3"/>
        <s v="Mandela S3"/>
        <s v="Joy of Life S3"/>
        <s v="Panchayat S3"/>
        <s v="Veyil S2"/>
        <s v="Ratsasan S2"/>
        <s v="Thaen S6"/>
        <s v="Lost S5"/>
        <s v="Bridgerton S2"/>
        <s v="Ultraman S4"/>
        <s v="Kengan Ashura S4"/>
        <s v="TVF Pitchers S3"/>
        <s v="Followers S4"/>
        <s v="All of Us Are Dead S3"/>
        <s v="Ratsasan S3"/>
        <s v="Story of Yanxi Palace"/>
        <s v="Mandela S4"/>
        <s v="The Rise of Phoenixes S3"/>
        <s v="Crash Course S6"/>
        <s v="Hostages S3"/>
        <s v="Go Princess Go S4"/>
        <s v="Escaype Live S2"/>
        <s v="The Tudors S4"/>
        <s v="Pariyerum Perumal S3"/>
        <s v="The Last of Us"/>
        <s v="Emily in Paris S4"/>
        <s v="All of Us Are Dead S4"/>
        <s v="Mandela S5"/>
        <s v="24 S4"/>
        <s v="Aspirants S4"/>
        <s v="Big Bang Theory S7"/>
        <s v="Special Ops S5"/>
        <s v="Friends"/>
        <s v="Loki S2"/>
        <s v="The Story of Ming Lan S6"/>
        <s v="Rudra S2"/>
        <s v="Doctors S7"/>
        <s v="Ratsasan S4"/>
        <s v="Game of Thrones S2"/>
        <s v="Thaen S7"/>
        <s v="Hospital Playlist S2"/>
        <s v="Kana Kaanum Kaalangal S3"/>
        <s v="Hostages S4"/>
        <s v="Money Heist S4"/>
        <s v="Alice in Borderland"/>
        <s v="My Mister"/>
        <s v="Mithya"/>
        <s v="A Love So Beautiful S3"/>
        <s v="Inside Edge S2"/>
        <s v="Tabbar S4"/>
        <s v="Terrace House S4"/>
        <s v="Navarasa S2"/>
        <s v="Hometown Cha-Cha-Cha S4"/>
        <s v="Arsenal Military Academy S5"/>
        <s v="Special Ops S6"/>
        <s v="Arsenal Military Academy S6"/>
        <s v="Doctors S8"/>
        <s v="Tooth Pari S7"/>
        <s v="Erased S7"/>
        <s v="Accidentally in Love S2"/>
        <s v="Iraivan S4"/>
        <s v="Dark S5"/>
        <s v="Brooklyn Nine-Nine S3"/>
        <s v="Scam 1992 S4"/>
        <s v="Dexter S3"/>
        <s v="Atelier S2"/>
        <s v="Sweet Combat S3"/>
        <s v="Black Mirror S4"/>
        <s v="A Love So Beautiful S4"/>
        <s v="Crash Course S7"/>
        <s v="Suits S5"/>
        <s v="Escaype Live S3"/>
        <s v="Downton Abbey S6"/>
        <s v="Lost S6"/>
        <s v="Nenjam Marappathillai S5"/>
        <s v="Trial By Fire S2"/>
        <s v="Trial By Fire S3"/>
        <s v="TVF Pitchers S4"/>
        <s v="Adhura S2"/>
        <s v="Westworld S3"/>
        <s v="Rings of Power S6"/>
        <s v="Guns &amp; Gulaabs S5"/>
        <s v="Game of Thrones S3"/>
        <s v="Million Yen Women S3"/>
        <s v="Crash Landing on You S6"/>
        <s v="Nirvana in Fire S3"/>
        <s v="Flesh"/>
        <s v="Nirvana in Fire S4"/>
        <s v="Flesh S2"/>
        <s v="Jubilee S2"/>
        <s v="Soorarai Pottru S2"/>
        <s v="Vadhandhi S3"/>
        <s v="Put Your Head on My Shoulder S2"/>
        <s v="Jubilee S3"/>
        <s v="Bard of Blood S5"/>
        <s v="Altered Carbon S6"/>
      </sharedItems>
    </cacheField>
    <cacheField name="Genre" numFmtId="0">
      <sharedItems count="8">
        <s v="Action"/>
        <s v="Comedy"/>
        <s v="Horror"/>
        <s v="Crime"/>
        <s v="Fantasy"/>
        <s v="Thriller"/>
        <s v="Drama"/>
        <s v="Romance"/>
      </sharedItems>
    </cacheField>
    <cacheField name="Rating_x000a_(1-5)" numFmtId="0">
      <sharedItems containsSemiMixedTypes="0" containsString="0" containsNumber="1" containsInteger="1" minValue="1" maxValue="5"/>
    </cacheField>
    <cacheField name="Review" numFmtId="0">
      <sharedItems/>
    </cacheField>
    <cacheField name="Platform" numFmtId="0">
      <sharedItems count="5">
        <s v="Hotstar"/>
        <s v="Netflix"/>
        <s v="SonyLIV"/>
        <s v="Amazon Prime"/>
        <s v="JioCinema"/>
      </sharedItems>
    </cacheField>
    <cacheField name="Viewers_x000a_(Millions)" numFmtId="0">
      <sharedItems containsSemiMixedTypes="0" containsString="0" containsNumber="1" minValue="1.1000000000000001" maxValue="144"/>
    </cacheField>
    <cacheField name="Price Per_x000a_Viewer (₹)" numFmtId="0">
      <sharedItems containsSemiMixedTypes="0" containsString="0" containsNumber="1" containsInteger="1" minValue="10" maxValue="28"/>
    </cacheField>
    <cacheField name="Total Sales_x000a_(₹ Crore)" numFmtId="0">
      <sharedItems containsSemiMixedTypes="0" containsString="0" containsNumber="1" minValue="0.17" maxValue="40.18"/>
    </cacheField>
    <cacheField name="Profit_x000a_(₹ Crore)" numFmtId="0">
      <sharedItems containsSemiMixedTypes="0" containsString="0" containsNumber="1" minValue="7.0000000000000007E-2" maxValue="16.07"/>
    </cacheField>
    <cacheField name="Days (date)" numFmtId="0" databaseField="0">
      <fieldGroup base="1">
        <rangePr groupBy="days" startDate="2025-01-01T00:00:00" endDate="2025-07-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numFmtId="0" databaseField="0">
      <fieldGroup base="1">
        <rangePr groupBy="months" startDate="2025-01-01T00:00:00" endDate="2025-07-01T00:00:00"/>
        <groupItems count="14">
          <s v="&lt;01-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1501078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n v="4"/>
    <s v="Good"/>
    <x v="0"/>
    <n v="49.1"/>
    <n v="15"/>
    <n v="7.37"/>
    <n v="2.95"/>
  </r>
  <r>
    <n v="2"/>
    <x v="1"/>
    <x v="1"/>
    <x v="1"/>
    <x v="0"/>
    <n v="5"/>
    <s v="Must Watch"/>
    <x v="1"/>
    <n v="80.400000000000006"/>
    <n v="14"/>
    <n v="11.26"/>
    <n v="4.5"/>
  </r>
  <r>
    <n v="3"/>
    <x v="2"/>
    <x v="2"/>
    <x v="2"/>
    <x v="1"/>
    <n v="2"/>
    <s v="Poor"/>
    <x v="2"/>
    <n v="3"/>
    <n v="20"/>
    <n v="0.6"/>
    <n v="0.24"/>
  </r>
  <r>
    <n v="4"/>
    <x v="3"/>
    <x v="0"/>
    <x v="3"/>
    <x v="2"/>
    <n v="5"/>
    <s v="Must Watch"/>
    <x v="3"/>
    <n v="78.2"/>
    <n v="11"/>
    <n v="8.6"/>
    <n v="3.44"/>
  </r>
  <r>
    <n v="5"/>
    <x v="4"/>
    <x v="2"/>
    <x v="4"/>
    <x v="3"/>
    <n v="4"/>
    <s v="Good"/>
    <x v="1"/>
    <n v="48.8"/>
    <n v="16"/>
    <n v="7.81"/>
    <n v="3.12"/>
  </r>
  <r>
    <n v="6"/>
    <x v="5"/>
    <x v="2"/>
    <x v="5"/>
    <x v="1"/>
    <n v="5"/>
    <s v="Must Watch"/>
    <x v="0"/>
    <n v="82.3"/>
    <n v="16"/>
    <n v="13.17"/>
    <n v="5.27"/>
  </r>
  <r>
    <n v="7"/>
    <x v="6"/>
    <x v="3"/>
    <x v="6"/>
    <x v="4"/>
    <n v="3"/>
    <s v="Average"/>
    <x v="2"/>
    <n v="19.5"/>
    <n v="20"/>
    <n v="3.9"/>
    <n v="1.56"/>
  </r>
  <r>
    <n v="8"/>
    <x v="7"/>
    <x v="3"/>
    <x v="7"/>
    <x v="5"/>
    <n v="4"/>
    <s v="Good"/>
    <x v="1"/>
    <n v="32.200000000000003"/>
    <n v="21"/>
    <n v="6.76"/>
    <n v="2.7"/>
  </r>
  <r>
    <n v="9"/>
    <x v="8"/>
    <x v="2"/>
    <x v="8"/>
    <x v="3"/>
    <n v="4"/>
    <s v="Good"/>
    <x v="0"/>
    <n v="38.6"/>
    <n v="19"/>
    <n v="7.33"/>
    <n v="2.93"/>
  </r>
  <r>
    <n v="10"/>
    <x v="9"/>
    <x v="3"/>
    <x v="9"/>
    <x v="0"/>
    <n v="4"/>
    <s v="Good"/>
    <x v="3"/>
    <n v="46.4"/>
    <n v="22"/>
    <n v="10.210000000000001"/>
    <n v="4.08"/>
  </r>
  <r>
    <n v="11"/>
    <x v="10"/>
    <x v="1"/>
    <x v="10"/>
    <x v="1"/>
    <n v="5"/>
    <s v="Must Watch"/>
    <x v="0"/>
    <n v="49.8"/>
    <n v="16"/>
    <n v="7.97"/>
    <n v="3.19"/>
  </r>
  <r>
    <n v="12"/>
    <x v="11"/>
    <x v="4"/>
    <x v="11"/>
    <x v="0"/>
    <n v="4"/>
    <s v="Good"/>
    <x v="3"/>
    <n v="25.9"/>
    <n v="12"/>
    <n v="3.11"/>
    <n v="1.24"/>
  </r>
  <r>
    <n v="13"/>
    <x v="12"/>
    <x v="2"/>
    <x v="12"/>
    <x v="5"/>
    <n v="4"/>
    <s v="Good"/>
    <x v="1"/>
    <n v="38.200000000000003"/>
    <n v="15"/>
    <n v="5.73"/>
    <n v="2.29"/>
  </r>
  <r>
    <n v="14"/>
    <x v="13"/>
    <x v="3"/>
    <x v="13"/>
    <x v="6"/>
    <n v="4"/>
    <s v="Good"/>
    <x v="3"/>
    <n v="25.9"/>
    <n v="18"/>
    <n v="4.66"/>
    <n v="1.86"/>
  </r>
  <r>
    <n v="15"/>
    <x v="14"/>
    <x v="4"/>
    <x v="14"/>
    <x v="4"/>
    <n v="5"/>
    <s v="Must Watch"/>
    <x v="1"/>
    <n v="121.7"/>
    <n v="15"/>
    <n v="18.260000000000002"/>
    <n v="7.3"/>
  </r>
  <r>
    <n v="16"/>
    <x v="8"/>
    <x v="2"/>
    <x v="0"/>
    <x v="7"/>
    <n v="4"/>
    <s v="Good"/>
    <x v="1"/>
    <n v="42.3"/>
    <n v="13"/>
    <n v="5.5"/>
    <n v="2.2000000000000002"/>
  </r>
  <r>
    <n v="17"/>
    <x v="15"/>
    <x v="1"/>
    <x v="15"/>
    <x v="6"/>
    <n v="5"/>
    <s v="Must Watch"/>
    <x v="4"/>
    <n v="143.69999999999999"/>
    <n v="14"/>
    <n v="20.12"/>
    <n v="8.0500000000000007"/>
  </r>
  <r>
    <n v="18"/>
    <x v="16"/>
    <x v="0"/>
    <x v="16"/>
    <x v="3"/>
    <n v="4"/>
    <s v="Good"/>
    <x v="4"/>
    <n v="37.1"/>
    <n v="17"/>
    <n v="6.31"/>
    <n v="2.52"/>
  </r>
  <r>
    <n v="19"/>
    <x v="2"/>
    <x v="3"/>
    <x v="17"/>
    <x v="7"/>
    <n v="4"/>
    <s v="Good"/>
    <x v="3"/>
    <n v="53.6"/>
    <n v="22"/>
    <n v="11.79"/>
    <n v="4.72"/>
  </r>
  <r>
    <n v="20"/>
    <x v="17"/>
    <x v="3"/>
    <x v="18"/>
    <x v="7"/>
    <n v="4"/>
    <s v="Good"/>
    <x v="0"/>
    <n v="37.6"/>
    <n v="22"/>
    <n v="8.27"/>
    <n v="3.31"/>
  </r>
  <r>
    <n v="21"/>
    <x v="18"/>
    <x v="4"/>
    <x v="19"/>
    <x v="1"/>
    <n v="4"/>
    <s v="Good"/>
    <x v="4"/>
    <n v="23.2"/>
    <n v="14"/>
    <n v="3.25"/>
    <n v="1.3"/>
  </r>
  <r>
    <n v="22"/>
    <x v="19"/>
    <x v="3"/>
    <x v="20"/>
    <x v="6"/>
    <n v="5"/>
    <s v="Must Watch"/>
    <x v="3"/>
    <n v="46.7"/>
    <n v="24"/>
    <n v="11.21"/>
    <n v="4.4800000000000004"/>
  </r>
  <r>
    <n v="23"/>
    <x v="20"/>
    <x v="3"/>
    <x v="21"/>
    <x v="7"/>
    <n v="4"/>
    <s v="Good"/>
    <x v="3"/>
    <n v="53.3"/>
    <n v="24"/>
    <n v="12.79"/>
    <n v="5.12"/>
  </r>
  <r>
    <n v="24"/>
    <x v="21"/>
    <x v="1"/>
    <x v="22"/>
    <x v="0"/>
    <n v="5"/>
    <s v="Must Watch"/>
    <x v="1"/>
    <n v="130"/>
    <n v="16"/>
    <n v="20.8"/>
    <n v="8.32"/>
  </r>
  <r>
    <n v="25"/>
    <x v="22"/>
    <x v="2"/>
    <x v="23"/>
    <x v="5"/>
    <n v="4"/>
    <s v="Good"/>
    <x v="0"/>
    <n v="31.9"/>
    <n v="18"/>
    <n v="5.74"/>
    <n v="2.2999999999999998"/>
  </r>
  <r>
    <n v="26"/>
    <x v="23"/>
    <x v="4"/>
    <x v="24"/>
    <x v="4"/>
    <n v="4"/>
    <s v="Good"/>
    <x v="4"/>
    <n v="52"/>
    <n v="15"/>
    <n v="7.8"/>
    <n v="3.12"/>
  </r>
  <r>
    <n v="27"/>
    <x v="24"/>
    <x v="3"/>
    <x v="25"/>
    <x v="0"/>
    <n v="3"/>
    <s v="Average"/>
    <x v="2"/>
    <n v="8.5"/>
    <n v="23"/>
    <n v="1.96"/>
    <n v="0.78"/>
  </r>
  <r>
    <n v="28"/>
    <x v="25"/>
    <x v="3"/>
    <x v="26"/>
    <x v="6"/>
    <n v="5"/>
    <s v="Must Watch"/>
    <x v="2"/>
    <n v="136.6"/>
    <n v="27"/>
    <n v="36.880000000000003"/>
    <n v="14.75"/>
  </r>
  <r>
    <n v="29"/>
    <x v="26"/>
    <x v="3"/>
    <x v="27"/>
    <x v="2"/>
    <n v="5"/>
    <s v="Must Watch"/>
    <x v="4"/>
    <n v="99.3"/>
    <n v="18"/>
    <n v="17.87"/>
    <n v="7.15"/>
  </r>
  <r>
    <n v="30"/>
    <x v="27"/>
    <x v="3"/>
    <x v="28"/>
    <x v="6"/>
    <n v="3"/>
    <s v="Average"/>
    <x v="2"/>
    <n v="11.1"/>
    <n v="22"/>
    <n v="2.44"/>
    <n v="0.98"/>
  </r>
  <r>
    <n v="31"/>
    <x v="4"/>
    <x v="0"/>
    <x v="29"/>
    <x v="6"/>
    <n v="3"/>
    <s v="Average"/>
    <x v="0"/>
    <n v="13.7"/>
    <n v="16"/>
    <n v="2.19"/>
    <n v="0.88"/>
  </r>
  <r>
    <n v="32"/>
    <x v="28"/>
    <x v="0"/>
    <x v="30"/>
    <x v="3"/>
    <n v="3"/>
    <s v="Average"/>
    <x v="1"/>
    <n v="16"/>
    <n v="10"/>
    <n v="1.6"/>
    <n v="0.64"/>
  </r>
  <r>
    <n v="33"/>
    <x v="29"/>
    <x v="3"/>
    <x v="31"/>
    <x v="0"/>
    <n v="5"/>
    <s v="Must Watch"/>
    <x v="1"/>
    <n v="119.2"/>
    <n v="21"/>
    <n v="25.03"/>
    <n v="10.01"/>
  </r>
  <r>
    <n v="34"/>
    <x v="30"/>
    <x v="2"/>
    <x v="32"/>
    <x v="0"/>
    <n v="4"/>
    <s v="Good"/>
    <x v="3"/>
    <n v="25"/>
    <n v="13"/>
    <n v="3.25"/>
    <n v="1.3"/>
  </r>
  <r>
    <n v="35"/>
    <x v="11"/>
    <x v="3"/>
    <x v="33"/>
    <x v="0"/>
    <n v="4"/>
    <s v="Good"/>
    <x v="0"/>
    <n v="50.7"/>
    <n v="20"/>
    <n v="10.14"/>
    <n v="4.0599999999999996"/>
  </r>
  <r>
    <n v="36"/>
    <x v="31"/>
    <x v="2"/>
    <x v="34"/>
    <x v="3"/>
    <n v="5"/>
    <s v="Must Watch"/>
    <x v="1"/>
    <n v="121.7"/>
    <n v="14"/>
    <n v="17.04"/>
    <n v="6.82"/>
  </r>
  <r>
    <n v="37"/>
    <x v="8"/>
    <x v="4"/>
    <x v="35"/>
    <x v="5"/>
    <n v="4"/>
    <s v="Good"/>
    <x v="0"/>
    <n v="43"/>
    <n v="18"/>
    <n v="7.74"/>
    <n v="3.1"/>
  </r>
  <r>
    <n v="38"/>
    <x v="32"/>
    <x v="2"/>
    <x v="36"/>
    <x v="7"/>
    <n v="3"/>
    <s v="Average"/>
    <x v="4"/>
    <n v="19.7"/>
    <n v="15"/>
    <n v="2.96"/>
    <n v="1.18"/>
  </r>
  <r>
    <n v="39"/>
    <x v="33"/>
    <x v="3"/>
    <x v="37"/>
    <x v="5"/>
    <n v="5"/>
    <s v="Must Watch"/>
    <x v="4"/>
    <n v="124.6"/>
    <n v="27"/>
    <n v="33.64"/>
    <n v="13.46"/>
  </r>
  <r>
    <n v="40"/>
    <x v="0"/>
    <x v="0"/>
    <x v="38"/>
    <x v="0"/>
    <n v="4"/>
    <s v="Good"/>
    <x v="2"/>
    <n v="46.5"/>
    <n v="11"/>
    <n v="5.12"/>
    <n v="2.0499999999999998"/>
  </r>
  <r>
    <n v="41"/>
    <x v="34"/>
    <x v="1"/>
    <x v="39"/>
    <x v="1"/>
    <n v="4"/>
    <s v="Good"/>
    <x v="2"/>
    <n v="52.9"/>
    <n v="10"/>
    <n v="5.29"/>
    <n v="2.12"/>
  </r>
  <r>
    <n v="42"/>
    <x v="35"/>
    <x v="3"/>
    <x v="40"/>
    <x v="1"/>
    <n v="5"/>
    <s v="Must Watch"/>
    <x v="2"/>
    <n v="114.3"/>
    <n v="24"/>
    <n v="27.43"/>
    <n v="10.97"/>
  </r>
  <r>
    <n v="43"/>
    <x v="36"/>
    <x v="0"/>
    <x v="41"/>
    <x v="2"/>
    <n v="4"/>
    <s v="Good"/>
    <x v="0"/>
    <n v="44.6"/>
    <n v="17"/>
    <n v="7.58"/>
    <n v="3.03"/>
  </r>
  <r>
    <n v="44"/>
    <x v="37"/>
    <x v="0"/>
    <x v="42"/>
    <x v="3"/>
    <n v="5"/>
    <s v="Must Watch"/>
    <x v="4"/>
    <n v="68.2"/>
    <n v="13"/>
    <n v="8.8699999999999992"/>
    <n v="3.55"/>
  </r>
  <r>
    <n v="45"/>
    <x v="38"/>
    <x v="1"/>
    <x v="43"/>
    <x v="7"/>
    <n v="3"/>
    <s v="Average"/>
    <x v="2"/>
    <n v="12.1"/>
    <n v="13"/>
    <n v="1.57"/>
    <n v="0.63"/>
  </r>
  <r>
    <n v="46"/>
    <x v="39"/>
    <x v="0"/>
    <x v="44"/>
    <x v="7"/>
    <n v="5"/>
    <s v="Must Watch"/>
    <x v="0"/>
    <n v="43"/>
    <n v="15"/>
    <n v="6.45"/>
    <n v="2.58"/>
  </r>
  <r>
    <n v="47"/>
    <x v="40"/>
    <x v="0"/>
    <x v="45"/>
    <x v="3"/>
    <n v="3"/>
    <s v="Average"/>
    <x v="0"/>
    <n v="13.8"/>
    <n v="14"/>
    <n v="1.93"/>
    <n v="0.77"/>
  </r>
  <r>
    <n v="48"/>
    <x v="41"/>
    <x v="3"/>
    <x v="46"/>
    <x v="2"/>
    <n v="4"/>
    <s v="Good"/>
    <x v="3"/>
    <n v="23.4"/>
    <n v="24"/>
    <n v="5.62"/>
    <n v="2.25"/>
  </r>
  <r>
    <n v="49"/>
    <x v="42"/>
    <x v="0"/>
    <x v="47"/>
    <x v="7"/>
    <n v="5"/>
    <s v="Must Watch"/>
    <x v="2"/>
    <n v="107.8"/>
    <n v="17"/>
    <n v="18.329999999999998"/>
    <n v="7.33"/>
  </r>
  <r>
    <n v="50"/>
    <x v="26"/>
    <x v="0"/>
    <x v="48"/>
    <x v="0"/>
    <n v="3"/>
    <s v="Average"/>
    <x v="3"/>
    <n v="14.9"/>
    <n v="13"/>
    <n v="1.94"/>
    <n v="0.78"/>
  </r>
  <r>
    <n v="51"/>
    <x v="43"/>
    <x v="2"/>
    <x v="49"/>
    <x v="7"/>
    <n v="4"/>
    <s v="Good"/>
    <x v="2"/>
    <n v="42.1"/>
    <n v="17"/>
    <n v="7.16"/>
    <n v="2.86"/>
  </r>
  <r>
    <n v="52"/>
    <x v="44"/>
    <x v="2"/>
    <x v="50"/>
    <x v="7"/>
    <n v="4"/>
    <s v="Good"/>
    <x v="0"/>
    <n v="48.1"/>
    <n v="16"/>
    <n v="7.7"/>
    <n v="3.08"/>
  </r>
  <r>
    <n v="53"/>
    <x v="45"/>
    <x v="4"/>
    <x v="51"/>
    <x v="1"/>
    <n v="3"/>
    <s v="Average"/>
    <x v="3"/>
    <n v="13.4"/>
    <n v="20"/>
    <n v="2.68"/>
    <n v="1.07"/>
  </r>
  <r>
    <n v="54"/>
    <x v="26"/>
    <x v="3"/>
    <x v="52"/>
    <x v="4"/>
    <n v="3"/>
    <s v="Average"/>
    <x v="2"/>
    <n v="12.7"/>
    <n v="27"/>
    <n v="3.43"/>
    <n v="1.37"/>
  </r>
  <r>
    <n v="55"/>
    <x v="46"/>
    <x v="2"/>
    <x v="53"/>
    <x v="3"/>
    <n v="4"/>
    <s v="Good"/>
    <x v="1"/>
    <n v="53.3"/>
    <n v="16"/>
    <n v="8.5299999999999994"/>
    <n v="3.41"/>
  </r>
  <r>
    <n v="56"/>
    <x v="47"/>
    <x v="3"/>
    <x v="54"/>
    <x v="1"/>
    <n v="3"/>
    <s v="Average"/>
    <x v="1"/>
    <n v="20"/>
    <n v="20"/>
    <n v="4"/>
    <n v="1.6"/>
  </r>
  <r>
    <n v="57"/>
    <x v="48"/>
    <x v="3"/>
    <x v="55"/>
    <x v="2"/>
    <n v="5"/>
    <s v="Must Watch"/>
    <x v="4"/>
    <n v="70.7"/>
    <n v="20"/>
    <n v="14.14"/>
    <n v="5.66"/>
  </r>
  <r>
    <n v="58"/>
    <x v="20"/>
    <x v="0"/>
    <x v="56"/>
    <x v="3"/>
    <n v="3"/>
    <s v="Average"/>
    <x v="1"/>
    <n v="17.8"/>
    <n v="17"/>
    <n v="3.03"/>
    <n v="1.21"/>
  </r>
  <r>
    <n v="59"/>
    <x v="49"/>
    <x v="0"/>
    <x v="57"/>
    <x v="3"/>
    <n v="4"/>
    <s v="Good"/>
    <x v="1"/>
    <n v="30.1"/>
    <n v="17"/>
    <n v="5.12"/>
    <n v="2.0499999999999998"/>
  </r>
  <r>
    <n v="60"/>
    <x v="50"/>
    <x v="1"/>
    <x v="58"/>
    <x v="7"/>
    <n v="4"/>
    <s v="Good"/>
    <x v="1"/>
    <n v="43.1"/>
    <n v="15"/>
    <n v="6.47"/>
    <n v="2.59"/>
  </r>
  <r>
    <n v="61"/>
    <x v="51"/>
    <x v="0"/>
    <x v="59"/>
    <x v="5"/>
    <n v="3"/>
    <s v="Average"/>
    <x v="4"/>
    <n v="24.1"/>
    <n v="11"/>
    <n v="2.65"/>
    <n v="1.06"/>
  </r>
  <r>
    <n v="62"/>
    <x v="4"/>
    <x v="1"/>
    <x v="60"/>
    <x v="7"/>
    <n v="4"/>
    <s v="Good"/>
    <x v="2"/>
    <n v="44.3"/>
    <n v="16"/>
    <n v="7.09"/>
    <n v="2.84"/>
  </r>
  <r>
    <n v="63"/>
    <x v="52"/>
    <x v="2"/>
    <x v="61"/>
    <x v="6"/>
    <n v="5"/>
    <s v="Must Watch"/>
    <x v="2"/>
    <n v="87.3"/>
    <n v="19"/>
    <n v="16.59"/>
    <n v="6.64"/>
  </r>
  <r>
    <n v="64"/>
    <x v="27"/>
    <x v="0"/>
    <x v="62"/>
    <x v="7"/>
    <n v="5"/>
    <s v="Must Watch"/>
    <x v="0"/>
    <n v="99.7"/>
    <n v="10"/>
    <n v="9.9700000000000006"/>
    <n v="3.99"/>
  </r>
  <r>
    <n v="65"/>
    <x v="4"/>
    <x v="2"/>
    <x v="63"/>
    <x v="7"/>
    <n v="3"/>
    <s v="Average"/>
    <x v="3"/>
    <n v="18.600000000000001"/>
    <n v="16"/>
    <n v="2.98"/>
    <n v="1.19"/>
  </r>
  <r>
    <n v="66"/>
    <x v="53"/>
    <x v="2"/>
    <x v="64"/>
    <x v="6"/>
    <n v="3"/>
    <s v="Average"/>
    <x v="4"/>
    <n v="9.3000000000000007"/>
    <n v="12"/>
    <n v="1.1200000000000001"/>
    <n v="0.45"/>
  </r>
  <r>
    <n v="67"/>
    <x v="54"/>
    <x v="3"/>
    <x v="65"/>
    <x v="7"/>
    <n v="5"/>
    <s v="Must Watch"/>
    <x v="2"/>
    <n v="70.599999999999994"/>
    <n v="21"/>
    <n v="14.83"/>
    <n v="5.93"/>
  </r>
  <r>
    <n v="68"/>
    <x v="55"/>
    <x v="0"/>
    <x v="66"/>
    <x v="2"/>
    <n v="4"/>
    <s v="Good"/>
    <x v="2"/>
    <n v="22.8"/>
    <n v="13"/>
    <n v="2.96"/>
    <n v="1.18"/>
  </r>
  <r>
    <n v="69"/>
    <x v="56"/>
    <x v="1"/>
    <x v="67"/>
    <x v="4"/>
    <n v="5"/>
    <s v="Must Watch"/>
    <x v="4"/>
    <n v="109.4"/>
    <n v="11"/>
    <n v="12.03"/>
    <n v="4.8099999999999996"/>
  </r>
  <r>
    <n v="70"/>
    <x v="57"/>
    <x v="4"/>
    <x v="68"/>
    <x v="5"/>
    <n v="4"/>
    <s v="Good"/>
    <x v="3"/>
    <n v="56.3"/>
    <n v="14"/>
    <n v="7.88"/>
    <n v="3.15"/>
  </r>
  <r>
    <n v="71"/>
    <x v="12"/>
    <x v="2"/>
    <x v="69"/>
    <x v="0"/>
    <n v="3"/>
    <s v="Average"/>
    <x v="0"/>
    <n v="18.100000000000001"/>
    <n v="16"/>
    <n v="2.9"/>
    <n v="1.1599999999999999"/>
  </r>
  <r>
    <n v="72"/>
    <x v="17"/>
    <x v="4"/>
    <x v="70"/>
    <x v="5"/>
    <n v="4"/>
    <s v="Good"/>
    <x v="0"/>
    <n v="48"/>
    <n v="16"/>
    <n v="7.68"/>
    <n v="3.07"/>
  </r>
  <r>
    <n v="73"/>
    <x v="42"/>
    <x v="3"/>
    <x v="71"/>
    <x v="7"/>
    <n v="4"/>
    <s v="Good"/>
    <x v="4"/>
    <n v="21.6"/>
    <n v="24"/>
    <n v="5.18"/>
    <n v="2.0699999999999998"/>
  </r>
  <r>
    <n v="74"/>
    <x v="38"/>
    <x v="1"/>
    <x v="72"/>
    <x v="4"/>
    <n v="4"/>
    <s v="Good"/>
    <x v="1"/>
    <n v="23.7"/>
    <n v="15"/>
    <n v="3.56"/>
    <n v="1.42"/>
  </r>
  <r>
    <n v="75"/>
    <x v="58"/>
    <x v="1"/>
    <x v="73"/>
    <x v="0"/>
    <n v="4"/>
    <s v="Good"/>
    <x v="1"/>
    <n v="60"/>
    <n v="15"/>
    <n v="9"/>
    <n v="3.6"/>
  </r>
  <r>
    <n v="76"/>
    <x v="8"/>
    <x v="1"/>
    <x v="74"/>
    <x v="4"/>
    <n v="4"/>
    <s v="Good"/>
    <x v="3"/>
    <n v="38.799999999999997"/>
    <n v="15"/>
    <n v="5.82"/>
    <n v="2.33"/>
  </r>
  <r>
    <n v="77"/>
    <x v="59"/>
    <x v="0"/>
    <x v="75"/>
    <x v="6"/>
    <n v="3"/>
    <s v="Average"/>
    <x v="4"/>
    <n v="15.4"/>
    <n v="17"/>
    <n v="2.62"/>
    <n v="1.05"/>
  </r>
  <r>
    <n v="78"/>
    <x v="60"/>
    <x v="3"/>
    <x v="76"/>
    <x v="7"/>
    <n v="4"/>
    <s v="Good"/>
    <x v="0"/>
    <n v="32.799999999999997"/>
    <n v="19"/>
    <n v="6.23"/>
    <n v="2.4900000000000002"/>
  </r>
  <r>
    <n v="79"/>
    <x v="61"/>
    <x v="3"/>
    <x v="77"/>
    <x v="4"/>
    <n v="4"/>
    <s v="Good"/>
    <x v="2"/>
    <n v="31.5"/>
    <n v="24"/>
    <n v="7.56"/>
    <n v="3.02"/>
  </r>
  <r>
    <n v="80"/>
    <x v="37"/>
    <x v="0"/>
    <x v="78"/>
    <x v="7"/>
    <n v="2"/>
    <s v="Poor"/>
    <x v="1"/>
    <n v="5.2"/>
    <n v="15"/>
    <n v="0.78"/>
    <n v="0.31"/>
  </r>
  <r>
    <n v="81"/>
    <x v="1"/>
    <x v="2"/>
    <x v="79"/>
    <x v="5"/>
    <n v="5"/>
    <s v="Must Watch"/>
    <x v="1"/>
    <n v="109.1"/>
    <n v="20"/>
    <n v="21.82"/>
    <n v="8.73"/>
  </r>
  <r>
    <n v="82"/>
    <x v="62"/>
    <x v="2"/>
    <x v="80"/>
    <x v="5"/>
    <n v="2"/>
    <s v="Poor"/>
    <x v="4"/>
    <n v="5.5"/>
    <n v="19"/>
    <n v="1.05"/>
    <n v="0.42"/>
  </r>
  <r>
    <n v="83"/>
    <x v="7"/>
    <x v="4"/>
    <x v="81"/>
    <x v="7"/>
    <n v="5"/>
    <s v="Must Watch"/>
    <x v="3"/>
    <n v="68"/>
    <n v="14"/>
    <n v="9.52"/>
    <n v="3.81"/>
  </r>
  <r>
    <n v="84"/>
    <x v="63"/>
    <x v="3"/>
    <x v="82"/>
    <x v="7"/>
    <n v="5"/>
    <s v="Must Watch"/>
    <x v="2"/>
    <n v="52.7"/>
    <n v="28"/>
    <n v="14.76"/>
    <n v="5.9"/>
  </r>
  <r>
    <n v="85"/>
    <x v="0"/>
    <x v="1"/>
    <x v="83"/>
    <x v="6"/>
    <n v="5"/>
    <s v="Must Watch"/>
    <x v="0"/>
    <n v="97.8"/>
    <n v="14"/>
    <n v="13.69"/>
    <n v="5.48"/>
  </r>
  <r>
    <n v="86"/>
    <x v="2"/>
    <x v="4"/>
    <x v="84"/>
    <x v="5"/>
    <n v="3"/>
    <s v="Average"/>
    <x v="1"/>
    <n v="15.8"/>
    <n v="13"/>
    <n v="2.0499999999999998"/>
    <n v="0.82"/>
  </r>
  <r>
    <n v="87"/>
    <x v="64"/>
    <x v="1"/>
    <x v="85"/>
    <x v="6"/>
    <n v="4"/>
    <s v="Good"/>
    <x v="0"/>
    <n v="40.4"/>
    <n v="12"/>
    <n v="4.8499999999999996"/>
    <n v="1.94"/>
  </r>
  <r>
    <n v="88"/>
    <x v="65"/>
    <x v="2"/>
    <x v="86"/>
    <x v="5"/>
    <n v="5"/>
    <s v="Must Watch"/>
    <x v="3"/>
    <n v="88"/>
    <n v="14"/>
    <n v="12.32"/>
    <n v="4.93"/>
  </r>
  <r>
    <n v="89"/>
    <x v="24"/>
    <x v="4"/>
    <x v="87"/>
    <x v="6"/>
    <n v="5"/>
    <s v="Must Watch"/>
    <x v="4"/>
    <n v="118.4"/>
    <n v="14"/>
    <n v="16.579999999999998"/>
    <n v="6.63"/>
  </r>
  <r>
    <n v="90"/>
    <x v="50"/>
    <x v="2"/>
    <x v="88"/>
    <x v="1"/>
    <n v="5"/>
    <s v="Must Watch"/>
    <x v="2"/>
    <n v="75.7"/>
    <n v="20"/>
    <n v="15.14"/>
    <n v="6.06"/>
  </r>
  <r>
    <n v="91"/>
    <x v="66"/>
    <x v="2"/>
    <x v="89"/>
    <x v="0"/>
    <n v="4"/>
    <s v="Good"/>
    <x v="0"/>
    <n v="53.5"/>
    <n v="19"/>
    <n v="10.17"/>
    <n v="4.07"/>
  </r>
  <r>
    <n v="92"/>
    <x v="67"/>
    <x v="0"/>
    <x v="90"/>
    <x v="5"/>
    <n v="4"/>
    <s v="Good"/>
    <x v="2"/>
    <n v="33.799999999999997"/>
    <n v="16"/>
    <n v="5.41"/>
    <n v="2.16"/>
  </r>
  <r>
    <n v="93"/>
    <x v="0"/>
    <x v="3"/>
    <x v="91"/>
    <x v="1"/>
    <n v="5"/>
    <s v="Must Watch"/>
    <x v="3"/>
    <n v="100"/>
    <n v="21"/>
    <n v="21"/>
    <n v="8.4"/>
  </r>
  <r>
    <n v="94"/>
    <x v="68"/>
    <x v="3"/>
    <x v="92"/>
    <x v="6"/>
    <n v="2"/>
    <s v="Poor"/>
    <x v="2"/>
    <n v="7.9"/>
    <n v="24"/>
    <n v="1.9"/>
    <n v="0.76"/>
  </r>
  <r>
    <n v="95"/>
    <x v="69"/>
    <x v="0"/>
    <x v="93"/>
    <x v="2"/>
    <n v="5"/>
    <s v="Must Watch"/>
    <x v="3"/>
    <n v="92"/>
    <n v="10"/>
    <n v="9.1999999999999993"/>
    <n v="3.68"/>
  </r>
  <r>
    <n v="96"/>
    <x v="70"/>
    <x v="2"/>
    <x v="94"/>
    <x v="3"/>
    <n v="5"/>
    <s v="Must Watch"/>
    <x v="0"/>
    <n v="131.30000000000001"/>
    <n v="19"/>
    <n v="24.95"/>
    <n v="9.98"/>
  </r>
  <r>
    <n v="97"/>
    <x v="57"/>
    <x v="2"/>
    <x v="95"/>
    <x v="3"/>
    <n v="5"/>
    <s v="Must Watch"/>
    <x v="1"/>
    <n v="115.9"/>
    <n v="18"/>
    <n v="20.86"/>
    <n v="8.34"/>
  </r>
  <r>
    <n v="98"/>
    <x v="64"/>
    <x v="4"/>
    <x v="96"/>
    <x v="0"/>
    <n v="5"/>
    <s v="Must Watch"/>
    <x v="1"/>
    <n v="89.3"/>
    <n v="16"/>
    <n v="14.29"/>
    <n v="5.72"/>
  </r>
  <r>
    <n v="99"/>
    <x v="48"/>
    <x v="1"/>
    <x v="97"/>
    <x v="0"/>
    <n v="5"/>
    <s v="Must Watch"/>
    <x v="1"/>
    <n v="129.4"/>
    <n v="16"/>
    <n v="20.7"/>
    <n v="8.2799999999999994"/>
  </r>
  <r>
    <n v="100"/>
    <x v="3"/>
    <x v="0"/>
    <x v="98"/>
    <x v="7"/>
    <n v="4"/>
    <s v="Good"/>
    <x v="0"/>
    <n v="45.1"/>
    <n v="17"/>
    <n v="7.67"/>
    <n v="3.07"/>
  </r>
  <r>
    <n v="101"/>
    <x v="25"/>
    <x v="3"/>
    <x v="99"/>
    <x v="2"/>
    <n v="4"/>
    <s v="Good"/>
    <x v="3"/>
    <n v="45.2"/>
    <n v="22"/>
    <n v="9.94"/>
    <n v="3.98"/>
  </r>
  <r>
    <n v="102"/>
    <x v="45"/>
    <x v="1"/>
    <x v="100"/>
    <x v="1"/>
    <n v="3"/>
    <s v="Average"/>
    <x v="1"/>
    <n v="20.9"/>
    <n v="15"/>
    <n v="3.14"/>
    <n v="1.26"/>
  </r>
  <r>
    <n v="103"/>
    <x v="71"/>
    <x v="3"/>
    <x v="101"/>
    <x v="7"/>
    <n v="3"/>
    <s v="Average"/>
    <x v="0"/>
    <n v="23.4"/>
    <n v="18"/>
    <n v="4.21"/>
    <n v="1.68"/>
  </r>
  <r>
    <n v="104"/>
    <x v="72"/>
    <x v="1"/>
    <x v="102"/>
    <x v="7"/>
    <n v="4"/>
    <s v="Good"/>
    <x v="0"/>
    <n v="37.200000000000003"/>
    <n v="11"/>
    <n v="4.09"/>
    <n v="1.64"/>
  </r>
  <r>
    <n v="105"/>
    <x v="73"/>
    <x v="2"/>
    <x v="103"/>
    <x v="5"/>
    <n v="4"/>
    <s v="Good"/>
    <x v="3"/>
    <n v="26.8"/>
    <n v="13"/>
    <n v="3.48"/>
    <n v="1.39"/>
  </r>
  <r>
    <n v="106"/>
    <x v="74"/>
    <x v="3"/>
    <x v="104"/>
    <x v="6"/>
    <n v="4"/>
    <s v="Good"/>
    <x v="3"/>
    <n v="39.9"/>
    <n v="27"/>
    <n v="10.77"/>
    <n v="4.3099999999999996"/>
  </r>
  <r>
    <n v="107"/>
    <x v="59"/>
    <x v="0"/>
    <x v="105"/>
    <x v="5"/>
    <n v="4"/>
    <s v="Good"/>
    <x v="0"/>
    <n v="38.4"/>
    <n v="10"/>
    <n v="3.84"/>
    <n v="1.54"/>
  </r>
  <r>
    <n v="108"/>
    <x v="75"/>
    <x v="1"/>
    <x v="106"/>
    <x v="5"/>
    <n v="5"/>
    <s v="Must Watch"/>
    <x v="4"/>
    <n v="56.6"/>
    <n v="13"/>
    <n v="7.36"/>
    <n v="2.94"/>
  </r>
  <r>
    <n v="109"/>
    <x v="76"/>
    <x v="0"/>
    <x v="107"/>
    <x v="7"/>
    <n v="4"/>
    <s v="Good"/>
    <x v="2"/>
    <n v="47.6"/>
    <n v="17"/>
    <n v="8.09"/>
    <n v="3.24"/>
  </r>
  <r>
    <n v="110"/>
    <x v="4"/>
    <x v="3"/>
    <x v="108"/>
    <x v="5"/>
    <n v="3"/>
    <s v="Average"/>
    <x v="2"/>
    <n v="22.5"/>
    <n v="19"/>
    <n v="4.28"/>
    <n v="1.71"/>
  </r>
  <r>
    <n v="111"/>
    <x v="71"/>
    <x v="2"/>
    <x v="109"/>
    <x v="5"/>
    <n v="4"/>
    <s v="Good"/>
    <x v="4"/>
    <n v="31.8"/>
    <n v="16"/>
    <n v="5.09"/>
    <n v="2.04"/>
  </r>
  <r>
    <n v="112"/>
    <x v="77"/>
    <x v="1"/>
    <x v="110"/>
    <x v="1"/>
    <n v="4"/>
    <s v="Good"/>
    <x v="1"/>
    <n v="42.6"/>
    <n v="15"/>
    <n v="6.39"/>
    <n v="2.56"/>
  </r>
  <r>
    <n v="113"/>
    <x v="78"/>
    <x v="2"/>
    <x v="111"/>
    <x v="3"/>
    <n v="5"/>
    <s v="Must Watch"/>
    <x v="0"/>
    <n v="121.5"/>
    <n v="15"/>
    <n v="18.23"/>
    <n v="7.29"/>
  </r>
  <r>
    <n v="114"/>
    <x v="79"/>
    <x v="2"/>
    <x v="112"/>
    <x v="1"/>
    <n v="3"/>
    <s v="Average"/>
    <x v="3"/>
    <n v="18.600000000000001"/>
    <n v="14"/>
    <n v="2.6"/>
    <n v="1.04"/>
  </r>
  <r>
    <n v="115"/>
    <x v="80"/>
    <x v="1"/>
    <x v="113"/>
    <x v="7"/>
    <n v="5"/>
    <s v="Must Watch"/>
    <x v="1"/>
    <n v="72.400000000000006"/>
    <n v="13"/>
    <n v="9.41"/>
    <n v="3.76"/>
  </r>
  <r>
    <n v="116"/>
    <x v="81"/>
    <x v="4"/>
    <x v="114"/>
    <x v="2"/>
    <n v="4"/>
    <s v="Good"/>
    <x v="3"/>
    <n v="23.6"/>
    <n v="16"/>
    <n v="3.78"/>
    <n v="1.51"/>
  </r>
  <r>
    <n v="117"/>
    <x v="82"/>
    <x v="4"/>
    <x v="115"/>
    <x v="0"/>
    <n v="4"/>
    <s v="Good"/>
    <x v="3"/>
    <n v="25.3"/>
    <n v="20"/>
    <n v="5.0599999999999996"/>
    <n v="2.02"/>
  </r>
  <r>
    <n v="118"/>
    <x v="66"/>
    <x v="0"/>
    <x v="116"/>
    <x v="6"/>
    <n v="4"/>
    <s v="Good"/>
    <x v="0"/>
    <n v="53.2"/>
    <n v="14"/>
    <n v="7.45"/>
    <n v="2.98"/>
  </r>
  <r>
    <n v="119"/>
    <x v="74"/>
    <x v="2"/>
    <x v="117"/>
    <x v="1"/>
    <n v="5"/>
    <s v="Must Watch"/>
    <x v="0"/>
    <n v="124.4"/>
    <n v="19"/>
    <n v="23.64"/>
    <n v="9.4600000000000009"/>
  </r>
  <r>
    <n v="120"/>
    <x v="40"/>
    <x v="3"/>
    <x v="118"/>
    <x v="4"/>
    <n v="5"/>
    <s v="Must Watch"/>
    <x v="3"/>
    <n v="130.30000000000001"/>
    <n v="28"/>
    <n v="36.479999999999997"/>
    <n v="14.59"/>
  </r>
  <r>
    <n v="121"/>
    <x v="83"/>
    <x v="2"/>
    <x v="119"/>
    <x v="3"/>
    <n v="4"/>
    <s v="Good"/>
    <x v="2"/>
    <n v="20.6"/>
    <n v="20"/>
    <n v="4.12"/>
    <n v="1.65"/>
  </r>
  <r>
    <n v="122"/>
    <x v="31"/>
    <x v="3"/>
    <x v="120"/>
    <x v="7"/>
    <n v="4"/>
    <s v="Good"/>
    <x v="0"/>
    <n v="43.4"/>
    <n v="28"/>
    <n v="12.15"/>
    <n v="4.8600000000000003"/>
  </r>
  <r>
    <n v="123"/>
    <x v="84"/>
    <x v="4"/>
    <x v="121"/>
    <x v="5"/>
    <n v="5"/>
    <s v="Must Watch"/>
    <x v="2"/>
    <n v="42.6"/>
    <n v="20"/>
    <n v="8.52"/>
    <n v="3.41"/>
  </r>
  <r>
    <n v="124"/>
    <x v="52"/>
    <x v="3"/>
    <x v="122"/>
    <x v="0"/>
    <n v="5"/>
    <s v="Must Watch"/>
    <x v="2"/>
    <n v="135.5"/>
    <n v="22"/>
    <n v="29.81"/>
    <n v="11.92"/>
  </r>
  <r>
    <n v="125"/>
    <x v="85"/>
    <x v="3"/>
    <x v="123"/>
    <x v="6"/>
    <n v="3"/>
    <s v="Average"/>
    <x v="1"/>
    <n v="24.1"/>
    <n v="22"/>
    <n v="5.3"/>
    <n v="2.12"/>
  </r>
  <r>
    <n v="126"/>
    <x v="86"/>
    <x v="1"/>
    <x v="124"/>
    <x v="7"/>
    <n v="3"/>
    <s v="Average"/>
    <x v="4"/>
    <n v="10.3"/>
    <n v="13"/>
    <n v="1.34"/>
    <n v="0.54"/>
  </r>
  <r>
    <n v="127"/>
    <x v="87"/>
    <x v="3"/>
    <x v="125"/>
    <x v="6"/>
    <n v="4"/>
    <s v="Good"/>
    <x v="3"/>
    <n v="55.4"/>
    <n v="28"/>
    <n v="15.51"/>
    <n v="6.2"/>
  </r>
  <r>
    <n v="128"/>
    <x v="88"/>
    <x v="3"/>
    <x v="126"/>
    <x v="7"/>
    <n v="4"/>
    <s v="Good"/>
    <x v="0"/>
    <n v="21.3"/>
    <n v="23"/>
    <n v="4.9000000000000004"/>
    <n v="1.96"/>
  </r>
  <r>
    <n v="129"/>
    <x v="29"/>
    <x v="0"/>
    <x v="127"/>
    <x v="3"/>
    <n v="4"/>
    <s v="Good"/>
    <x v="3"/>
    <n v="54.2"/>
    <n v="11"/>
    <n v="5.96"/>
    <n v="2.38"/>
  </r>
  <r>
    <n v="130"/>
    <x v="20"/>
    <x v="3"/>
    <x v="128"/>
    <x v="1"/>
    <n v="4"/>
    <s v="Good"/>
    <x v="0"/>
    <n v="22.4"/>
    <n v="22"/>
    <n v="4.93"/>
    <n v="1.97"/>
  </r>
  <r>
    <n v="131"/>
    <x v="89"/>
    <x v="3"/>
    <x v="129"/>
    <x v="3"/>
    <n v="5"/>
    <s v="Must Watch"/>
    <x v="2"/>
    <n v="49.6"/>
    <n v="21"/>
    <n v="10.42"/>
    <n v="4.17"/>
  </r>
  <r>
    <n v="132"/>
    <x v="90"/>
    <x v="2"/>
    <x v="130"/>
    <x v="0"/>
    <n v="2"/>
    <s v="Poor"/>
    <x v="0"/>
    <n v="4.7"/>
    <n v="14"/>
    <n v="0.66"/>
    <n v="0.26"/>
  </r>
  <r>
    <n v="133"/>
    <x v="29"/>
    <x v="2"/>
    <x v="131"/>
    <x v="6"/>
    <n v="2"/>
    <s v="Poor"/>
    <x v="4"/>
    <n v="4.5"/>
    <n v="15"/>
    <n v="0.68"/>
    <n v="0.27"/>
  </r>
  <r>
    <n v="134"/>
    <x v="90"/>
    <x v="4"/>
    <x v="132"/>
    <x v="4"/>
    <n v="3"/>
    <s v="Average"/>
    <x v="3"/>
    <n v="21.4"/>
    <n v="21"/>
    <n v="4.49"/>
    <n v="1.8"/>
  </r>
  <r>
    <n v="135"/>
    <x v="10"/>
    <x v="3"/>
    <x v="133"/>
    <x v="5"/>
    <n v="5"/>
    <s v="Must Watch"/>
    <x v="3"/>
    <n v="143.69999999999999"/>
    <n v="26"/>
    <n v="37.36"/>
    <n v="14.94"/>
  </r>
  <r>
    <n v="136"/>
    <x v="91"/>
    <x v="2"/>
    <x v="134"/>
    <x v="6"/>
    <n v="3"/>
    <s v="Average"/>
    <x v="1"/>
    <n v="10.199999999999999"/>
    <n v="17"/>
    <n v="1.73"/>
    <n v="0.69"/>
  </r>
  <r>
    <n v="137"/>
    <x v="92"/>
    <x v="3"/>
    <x v="135"/>
    <x v="0"/>
    <n v="4"/>
    <s v="Good"/>
    <x v="1"/>
    <n v="27"/>
    <n v="18"/>
    <n v="4.8600000000000003"/>
    <n v="1.94"/>
  </r>
  <r>
    <n v="138"/>
    <x v="41"/>
    <x v="3"/>
    <x v="136"/>
    <x v="6"/>
    <n v="4"/>
    <s v="Good"/>
    <x v="1"/>
    <n v="39"/>
    <n v="23"/>
    <n v="8.9700000000000006"/>
    <n v="3.59"/>
  </r>
  <r>
    <n v="139"/>
    <x v="93"/>
    <x v="1"/>
    <x v="137"/>
    <x v="0"/>
    <n v="3"/>
    <s v="Average"/>
    <x v="4"/>
    <n v="11.8"/>
    <n v="14"/>
    <n v="1.65"/>
    <n v="0.66"/>
  </r>
  <r>
    <n v="140"/>
    <x v="94"/>
    <x v="4"/>
    <x v="138"/>
    <x v="0"/>
    <n v="5"/>
    <s v="Must Watch"/>
    <x v="4"/>
    <n v="71.7"/>
    <n v="22"/>
    <n v="15.77"/>
    <n v="6.31"/>
  </r>
  <r>
    <n v="141"/>
    <x v="53"/>
    <x v="0"/>
    <x v="139"/>
    <x v="0"/>
    <n v="5"/>
    <s v="Must Watch"/>
    <x v="2"/>
    <n v="84.8"/>
    <n v="11"/>
    <n v="9.33"/>
    <n v="3.73"/>
  </r>
  <r>
    <n v="142"/>
    <x v="21"/>
    <x v="4"/>
    <x v="140"/>
    <x v="0"/>
    <n v="5"/>
    <s v="Must Watch"/>
    <x v="1"/>
    <n v="134.4"/>
    <n v="17"/>
    <n v="22.85"/>
    <n v="9.14"/>
  </r>
  <r>
    <n v="143"/>
    <x v="90"/>
    <x v="2"/>
    <x v="141"/>
    <x v="6"/>
    <n v="2"/>
    <s v="Poor"/>
    <x v="0"/>
    <n v="7.4"/>
    <n v="20"/>
    <n v="1.48"/>
    <n v="0.59"/>
  </r>
  <r>
    <n v="144"/>
    <x v="50"/>
    <x v="0"/>
    <x v="142"/>
    <x v="6"/>
    <n v="4"/>
    <s v="Good"/>
    <x v="4"/>
    <n v="41.2"/>
    <n v="17"/>
    <n v="7"/>
    <n v="2.8"/>
  </r>
  <r>
    <n v="145"/>
    <x v="5"/>
    <x v="0"/>
    <x v="143"/>
    <x v="7"/>
    <n v="4"/>
    <s v="Good"/>
    <x v="1"/>
    <n v="54.1"/>
    <n v="13"/>
    <n v="7.03"/>
    <n v="2.81"/>
  </r>
  <r>
    <n v="146"/>
    <x v="60"/>
    <x v="0"/>
    <x v="144"/>
    <x v="3"/>
    <n v="5"/>
    <s v="Must Watch"/>
    <x v="2"/>
    <n v="75.599999999999994"/>
    <n v="17"/>
    <n v="12.85"/>
    <n v="5.14"/>
  </r>
  <r>
    <n v="147"/>
    <x v="95"/>
    <x v="1"/>
    <x v="145"/>
    <x v="5"/>
    <n v="5"/>
    <s v="Must Watch"/>
    <x v="0"/>
    <n v="84.8"/>
    <n v="15"/>
    <n v="12.72"/>
    <n v="5.09"/>
  </r>
  <r>
    <n v="148"/>
    <x v="96"/>
    <x v="3"/>
    <x v="146"/>
    <x v="1"/>
    <n v="5"/>
    <s v="Must Watch"/>
    <x v="2"/>
    <n v="47"/>
    <n v="19"/>
    <n v="8.93"/>
    <n v="3.57"/>
  </r>
  <r>
    <n v="149"/>
    <x v="95"/>
    <x v="3"/>
    <x v="147"/>
    <x v="6"/>
    <n v="3"/>
    <s v="Average"/>
    <x v="0"/>
    <n v="21.8"/>
    <n v="26"/>
    <n v="5.67"/>
    <n v="2.27"/>
  </r>
  <r>
    <n v="150"/>
    <x v="60"/>
    <x v="4"/>
    <x v="148"/>
    <x v="2"/>
    <n v="5"/>
    <s v="Must Watch"/>
    <x v="4"/>
    <n v="74.599999999999994"/>
    <n v="13"/>
    <n v="9.6999999999999993"/>
    <n v="3.88"/>
  </r>
  <r>
    <n v="151"/>
    <x v="97"/>
    <x v="3"/>
    <x v="149"/>
    <x v="1"/>
    <n v="5"/>
    <s v="Must Watch"/>
    <x v="2"/>
    <n v="131.1"/>
    <n v="18"/>
    <n v="23.6"/>
    <n v="9.44"/>
  </r>
  <r>
    <n v="152"/>
    <x v="98"/>
    <x v="0"/>
    <x v="150"/>
    <x v="7"/>
    <n v="4"/>
    <s v="Good"/>
    <x v="1"/>
    <n v="43.1"/>
    <n v="13"/>
    <n v="5.6"/>
    <n v="2.2400000000000002"/>
  </r>
  <r>
    <n v="153"/>
    <x v="33"/>
    <x v="4"/>
    <x v="151"/>
    <x v="0"/>
    <n v="4"/>
    <s v="Good"/>
    <x v="1"/>
    <n v="34"/>
    <n v="20"/>
    <n v="6.8"/>
    <n v="2.72"/>
  </r>
  <r>
    <n v="154"/>
    <x v="20"/>
    <x v="3"/>
    <x v="152"/>
    <x v="3"/>
    <n v="5"/>
    <s v="Must Watch"/>
    <x v="4"/>
    <n v="63.7"/>
    <n v="24"/>
    <n v="15.29"/>
    <n v="6.12"/>
  </r>
  <r>
    <n v="155"/>
    <x v="99"/>
    <x v="1"/>
    <x v="153"/>
    <x v="0"/>
    <n v="5"/>
    <s v="Must Watch"/>
    <x v="4"/>
    <n v="104.4"/>
    <n v="15"/>
    <n v="15.66"/>
    <n v="6.26"/>
  </r>
  <r>
    <n v="156"/>
    <x v="6"/>
    <x v="4"/>
    <x v="154"/>
    <x v="5"/>
    <n v="4"/>
    <s v="Good"/>
    <x v="0"/>
    <n v="21.2"/>
    <n v="16"/>
    <n v="3.39"/>
    <n v="1.36"/>
  </r>
  <r>
    <n v="157"/>
    <x v="10"/>
    <x v="3"/>
    <x v="155"/>
    <x v="5"/>
    <n v="5"/>
    <s v="Must Watch"/>
    <x v="0"/>
    <n v="40.6"/>
    <n v="20"/>
    <n v="8.1199999999999992"/>
    <n v="3.25"/>
  </r>
  <r>
    <n v="158"/>
    <x v="75"/>
    <x v="2"/>
    <x v="156"/>
    <x v="7"/>
    <n v="4"/>
    <s v="Good"/>
    <x v="3"/>
    <n v="49.6"/>
    <n v="12"/>
    <n v="5.95"/>
    <n v="2.38"/>
  </r>
  <r>
    <n v="159"/>
    <x v="100"/>
    <x v="4"/>
    <x v="157"/>
    <x v="0"/>
    <n v="4"/>
    <s v="Good"/>
    <x v="2"/>
    <n v="36.799999999999997"/>
    <n v="17"/>
    <n v="6.26"/>
    <n v="2.5"/>
  </r>
  <r>
    <n v="160"/>
    <x v="42"/>
    <x v="2"/>
    <x v="158"/>
    <x v="1"/>
    <n v="4"/>
    <s v="Good"/>
    <x v="0"/>
    <n v="51.1"/>
    <n v="13"/>
    <n v="6.64"/>
    <n v="2.66"/>
  </r>
  <r>
    <n v="161"/>
    <x v="100"/>
    <x v="0"/>
    <x v="159"/>
    <x v="0"/>
    <n v="3"/>
    <s v="Average"/>
    <x v="4"/>
    <n v="8.8000000000000007"/>
    <n v="11"/>
    <n v="0.97"/>
    <n v="0.39"/>
  </r>
  <r>
    <n v="162"/>
    <x v="17"/>
    <x v="3"/>
    <x v="160"/>
    <x v="7"/>
    <n v="5"/>
    <s v="Must Watch"/>
    <x v="2"/>
    <n v="103.7"/>
    <n v="24"/>
    <n v="24.89"/>
    <n v="9.9600000000000009"/>
  </r>
  <r>
    <n v="163"/>
    <x v="66"/>
    <x v="3"/>
    <x v="161"/>
    <x v="0"/>
    <n v="5"/>
    <s v="Must Watch"/>
    <x v="1"/>
    <n v="76.2"/>
    <n v="19"/>
    <n v="14.48"/>
    <n v="5.79"/>
  </r>
  <r>
    <n v="164"/>
    <x v="101"/>
    <x v="3"/>
    <x v="162"/>
    <x v="7"/>
    <n v="4"/>
    <s v="Good"/>
    <x v="0"/>
    <n v="21.8"/>
    <n v="24"/>
    <n v="5.23"/>
    <n v="2.09"/>
  </r>
  <r>
    <n v="165"/>
    <x v="52"/>
    <x v="1"/>
    <x v="163"/>
    <x v="7"/>
    <n v="1"/>
    <s v="Poor"/>
    <x v="0"/>
    <n v="4.8"/>
    <n v="16"/>
    <n v="0.77"/>
    <n v="0.31"/>
  </r>
  <r>
    <n v="166"/>
    <x v="75"/>
    <x v="3"/>
    <x v="164"/>
    <x v="5"/>
    <n v="4"/>
    <s v="Good"/>
    <x v="1"/>
    <n v="20.3"/>
    <n v="24"/>
    <n v="4.87"/>
    <n v="1.95"/>
  </r>
  <r>
    <n v="167"/>
    <x v="12"/>
    <x v="0"/>
    <x v="165"/>
    <x v="5"/>
    <n v="4"/>
    <s v="Good"/>
    <x v="3"/>
    <n v="40"/>
    <n v="15"/>
    <n v="6"/>
    <n v="2.4"/>
  </r>
  <r>
    <n v="168"/>
    <x v="102"/>
    <x v="3"/>
    <x v="166"/>
    <x v="6"/>
    <n v="5"/>
    <s v="Must Watch"/>
    <x v="1"/>
    <n v="85.8"/>
    <n v="25"/>
    <n v="21.45"/>
    <n v="8.58"/>
  </r>
  <r>
    <n v="169"/>
    <x v="103"/>
    <x v="1"/>
    <x v="167"/>
    <x v="7"/>
    <n v="5"/>
    <s v="Must Watch"/>
    <x v="4"/>
    <n v="85.1"/>
    <n v="13"/>
    <n v="11.06"/>
    <n v="4.42"/>
  </r>
  <r>
    <n v="170"/>
    <x v="41"/>
    <x v="1"/>
    <x v="168"/>
    <x v="1"/>
    <n v="4"/>
    <s v="Good"/>
    <x v="1"/>
    <n v="36.200000000000003"/>
    <n v="12"/>
    <n v="4.34"/>
    <n v="1.74"/>
  </r>
  <r>
    <n v="171"/>
    <x v="68"/>
    <x v="3"/>
    <x v="169"/>
    <x v="7"/>
    <n v="5"/>
    <s v="Must Watch"/>
    <x v="0"/>
    <n v="49.3"/>
    <n v="19"/>
    <n v="9.3699999999999992"/>
    <n v="3.75"/>
  </r>
  <r>
    <n v="172"/>
    <x v="66"/>
    <x v="3"/>
    <x v="170"/>
    <x v="6"/>
    <n v="4"/>
    <s v="Good"/>
    <x v="4"/>
    <n v="23.1"/>
    <n v="22"/>
    <n v="5.08"/>
    <n v="2.0299999999999998"/>
  </r>
  <r>
    <n v="173"/>
    <x v="104"/>
    <x v="4"/>
    <x v="171"/>
    <x v="1"/>
    <n v="3"/>
    <s v="Average"/>
    <x v="3"/>
    <n v="9.3000000000000007"/>
    <n v="22"/>
    <n v="2.0499999999999998"/>
    <n v="0.82"/>
  </r>
  <r>
    <n v="174"/>
    <x v="105"/>
    <x v="2"/>
    <x v="172"/>
    <x v="3"/>
    <n v="4"/>
    <s v="Good"/>
    <x v="0"/>
    <n v="34"/>
    <n v="14"/>
    <n v="4.76"/>
    <n v="1.9"/>
  </r>
  <r>
    <n v="175"/>
    <x v="71"/>
    <x v="2"/>
    <x v="173"/>
    <x v="0"/>
    <n v="3"/>
    <s v="Average"/>
    <x v="3"/>
    <n v="10.9"/>
    <n v="14"/>
    <n v="1.53"/>
    <n v="0.61"/>
  </r>
  <r>
    <n v="176"/>
    <x v="106"/>
    <x v="2"/>
    <x v="174"/>
    <x v="6"/>
    <n v="5"/>
    <s v="Must Watch"/>
    <x v="2"/>
    <n v="88.7"/>
    <n v="19"/>
    <n v="16.850000000000001"/>
    <n v="6.74"/>
  </r>
  <r>
    <n v="177"/>
    <x v="18"/>
    <x v="3"/>
    <x v="175"/>
    <x v="1"/>
    <n v="5"/>
    <s v="Must Watch"/>
    <x v="0"/>
    <n v="55.9"/>
    <n v="19"/>
    <n v="10.62"/>
    <n v="4.25"/>
  </r>
  <r>
    <n v="178"/>
    <x v="107"/>
    <x v="2"/>
    <x v="176"/>
    <x v="5"/>
    <n v="5"/>
    <s v="Must Watch"/>
    <x v="0"/>
    <n v="102.1"/>
    <n v="17"/>
    <n v="17.36"/>
    <n v="6.94"/>
  </r>
  <r>
    <n v="179"/>
    <x v="108"/>
    <x v="1"/>
    <x v="177"/>
    <x v="7"/>
    <n v="4"/>
    <s v="Good"/>
    <x v="2"/>
    <n v="21.5"/>
    <n v="12"/>
    <n v="2.58"/>
    <n v="1.03"/>
  </r>
  <r>
    <n v="180"/>
    <x v="1"/>
    <x v="4"/>
    <x v="178"/>
    <x v="1"/>
    <n v="2"/>
    <s v="Poor"/>
    <x v="1"/>
    <n v="7.3"/>
    <n v="20"/>
    <n v="1.46"/>
    <n v="0.57999999999999996"/>
  </r>
  <r>
    <n v="181"/>
    <x v="31"/>
    <x v="3"/>
    <x v="179"/>
    <x v="7"/>
    <n v="4"/>
    <s v="Good"/>
    <x v="1"/>
    <n v="38"/>
    <n v="27"/>
    <n v="10.26"/>
    <n v="4.0999999999999996"/>
  </r>
  <r>
    <n v="182"/>
    <x v="31"/>
    <x v="0"/>
    <x v="180"/>
    <x v="5"/>
    <n v="4"/>
    <s v="Good"/>
    <x v="2"/>
    <n v="40.1"/>
    <n v="10"/>
    <n v="4.01"/>
    <n v="1.6"/>
  </r>
  <r>
    <n v="183"/>
    <x v="109"/>
    <x v="3"/>
    <x v="181"/>
    <x v="3"/>
    <n v="5"/>
    <s v="Must Watch"/>
    <x v="0"/>
    <n v="143.19999999999999"/>
    <n v="19"/>
    <n v="27.21"/>
    <n v="10.88"/>
  </r>
  <r>
    <n v="184"/>
    <x v="61"/>
    <x v="4"/>
    <x v="182"/>
    <x v="0"/>
    <n v="3"/>
    <s v="Average"/>
    <x v="3"/>
    <n v="20"/>
    <n v="19"/>
    <n v="3.8"/>
    <n v="1.52"/>
  </r>
  <r>
    <n v="185"/>
    <x v="110"/>
    <x v="4"/>
    <x v="183"/>
    <x v="2"/>
    <n v="4"/>
    <s v="Good"/>
    <x v="0"/>
    <n v="34.9"/>
    <n v="16"/>
    <n v="5.58"/>
    <n v="2.23"/>
  </r>
  <r>
    <n v="186"/>
    <x v="100"/>
    <x v="2"/>
    <x v="184"/>
    <x v="5"/>
    <n v="5"/>
    <s v="Must Watch"/>
    <x v="4"/>
    <n v="45.5"/>
    <n v="17"/>
    <n v="7.74"/>
    <n v="3.1"/>
  </r>
  <r>
    <n v="187"/>
    <x v="111"/>
    <x v="2"/>
    <x v="185"/>
    <x v="1"/>
    <n v="3"/>
    <s v="Average"/>
    <x v="2"/>
    <n v="12.8"/>
    <n v="14"/>
    <n v="1.79"/>
    <n v="0.72"/>
  </r>
  <r>
    <n v="188"/>
    <x v="1"/>
    <x v="4"/>
    <x v="186"/>
    <x v="5"/>
    <n v="4"/>
    <s v="Good"/>
    <x v="3"/>
    <n v="56.7"/>
    <n v="16"/>
    <n v="9.07"/>
    <n v="3.63"/>
  </r>
  <r>
    <n v="189"/>
    <x v="29"/>
    <x v="2"/>
    <x v="187"/>
    <x v="6"/>
    <n v="4"/>
    <s v="Good"/>
    <x v="1"/>
    <n v="32.4"/>
    <n v="18"/>
    <n v="5.83"/>
    <n v="2.33"/>
  </r>
  <r>
    <n v="190"/>
    <x v="44"/>
    <x v="3"/>
    <x v="188"/>
    <x v="1"/>
    <n v="5"/>
    <s v="Must Watch"/>
    <x v="4"/>
    <n v="49.8"/>
    <n v="28"/>
    <n v="13.94"/>
    <n v="5.58"/>
  </r>
  <r>
    <n v="191"/>
    <x v="112"/>
    <x v="1"/>
    <x v="189"/>
    <x v="0"/>
    <n v="4"/>
    <s v="Good"/>
    <x v="0"/>
    <n v="32.4"/>
    <n v="11"/>
    <n v="3.56"/>
    <n v="1.42"/>
  </r>
  <r>
    <n v="192"/>
    <x v="37"/>
    <x v="3"/>
    <x v="190"/>
    <x v="7"/>
    <n v="3"/>
    <s v="Average"/>
    <x v="3"/>
    <n v="10.6"/>
    <n v="22"/>
    <n v="2.33"/>
    <n v="0.93"/>
  </r>
  <r>
    <n v="193"/>
    <x v="110"/>
    <x v="3"/>
    <x v="191"/>
    <x v="3"/>
    <n v="4"/>
    <s v="Good"/>
    <x v="4"/>
    <n v="53.4"/>
    <n v="26"/>
    <n v="13.88"/>
    <n v="5.55"/>
  </r>
  <r>
    <n v="194"/>
    <x v="69"/>
    <x v="4"/>
    <x v="192"/>
    <x v="0"/>
    <n v="4"/>
    <s v="Good"/>
    <x v="4"/>
    <n v="25.2"/>
    <n v="18"/>
    <n v="4.54"/>
    <n v="1.82"/>
  </r>
  <r>
    <n v="195"/>
    <x v="70"/>
    <x v="0"/>
    <x v="193"/>
    <x v="5"/>
    <n v="3"/>
    <s v="Average"/>
    <x v="4"/>
    <n v="21.8"/>
    <n v="12"/>
    <n v="2.62"/>
    <n v="1.05"/>
  </r>
  <r>
    <n v="196"/>
    <x v="75"/>
    <x v="3"/>
    <x v="194"/>
    <x v="7"/>
    <n v="2"/>
    <s v="Poor"/>
    <x v="0"/>
    <n v="7.7"/>
    <n v="21"/>
    <n v="1.62"/>
    <n v="0.65"/>
  </r>
  <r>
    <n v="197"/>
    <x v="111"/>
    <x v="2"/>
    <x v="195"/>
    <x v="3"/>
    <n v="4"/>
    <s v="Good"/>
    <x v="2"/>
    <n v="29.4"/>
    <n v="15"/>
    <n v="4.41"/>
    <n v="1.76"/>
  </r>
  <r>
    <n v="198"/>
    <x v="110"/>
    <x v="2"/>
    <x v="196"/>
    <x v="5"/>
    <n v="5"/>
    <s v="Must Watch"/>
    <x v="3"/>
    <n v="78.599999999999994"/>
    <n v="19"/>
    <n v="14.93"/>
    <n v="5.97"/>
  </r>
  <r>
    <n v="199"/>
    <x v="110"/>
    <x v="3"/>
    <x v="197"/>
    <x v="5"/>
    <n v="5"/>
    <s v="Must Watch"/>
    <x v="4"/>
    <n v="95.4"/>
    <n v="20"/>
    <n v="19.079999999999998"/>
    <n v="7.63"/>
  </r>
  <r>
    <n v="200"/>
    <x v="56"/>
    <x v="4"/>
    <x v="198"/>
    <x v="6"/>
    <n v="5"/>
    <s v="Must Watch"/>
    <x v="3"/>
    <n v="131.69999999999999"/>
    <n v="12"/>
    <n v="15.8"/>
    <n v="6.32"/>
  </r>
  <r>
    <n v="201"/>
    <x v="65"/>
    <x v="3"/>
    <x v="199"/>
    <x v="7"/>
    <n v="5"/>
    <s v="Must Watch"/>
    <x v="4"/>
    <n v="138.1"/>
    <n v="26"/>
    <n v="35.909999999999997"/>
    <n v="14.36"/>
  </r>
  <r>
    <n v="202"/>
    <x v="113"/>
    <x v="3"/>
    <x v="200"/>
    <x v="3"/>
    <n v="4"/>
    <s v="Good"/>
    <x v="3"/>
    <n v="30.9"/>
    <n v="26"/>
    <n v="8.0299999999999994"/>
    <n v="3.21"/>
  </r>
  <r>
    <n v="203"/>
    <x v="106"/>
    <x v="1"/>
    <x v="201"/>
    <x v="5"/>
    <n v="3"/>
    <s v="Average"/>
    <x v="3"/>
    <n v="21.9"/>
    <n v="12"/>
    <n v="2.63"/>
    <n v="1.05"/>
  </r>
  <r>
    <n v="204"/>
    <x v="91"/>
    <x v="4"/>
    <x v="202"/>
    <x v="5"/>
    <n v="4"/>
    <s v="Good"/>
    <x v="2"/>
    <n v="40.1"/>
    <n v="15"/>
    <n v="6.02"/>
    <n v="2.41"/>
  </r>
  <r>
    <n v="205"/>
    <x v="114"/>
    <x v="3"/>
    <x v="203"/>
    <x v="3"/>
    <n v="4"/>
    <s v="Good"/>
    <x v="1"/>
    <n v="32.700000000000003"/>
    <n v="19"/>
    <n v="6.21"/>
    <n v="2.48"/>
  </r>
  <r>
    <n v="206"/>
    <x v="82"/>
    <x v="4"/>
    <x v="204"/>
    <x v="0"/>
    <n v="5"/>
    <s v="Must Watch"/>
    <x v="3"/>
    <n v="54.4"/>
    <n v="16"/>
    <n v="8.6999999999999993"/>
    <n v="3.48"/>
  </r>
  <r>
    <n v="207"/>
    <x v="71"/>
    <x v="2"/>
    <x v="205"/>
    <x v="7"/>
    <n v="5"/>
    <s v="Must Watch"/>
    <x v="2"/>
    <n v="87.1"/>
    <n v="12"/>
    <n v="10.45"/>
    <n v="4.18"/>
  </r>
  <r>
    <n v="208"/>
    <x v="112"/>
    <x v="2"/>
    <x v="206"/>
    <x v="0"/>
    <n v="3"/>
    <s v="Average"/>
    <x v="3"/>
    <n v="17.3"/>
    <n v="20"/>
    <n v="3.46"/>
    <n v="1.38"/>
  </r>
  <r>
    <n v="209"/>
    <x v="106"/>
    <x v="3"/>
    <x v="207"/>
    <x v="3"/>
    <n v="5"/>
    <s v="Must Watch"/>
    <x v="3"/>
    <n v="71.599999999999994"/>
    <n v="18"/>
    <n v="12.89"/>
    <n v="5.16"/>
  </r>
  <r>
    <n v="210"/>
    <x v="90"/>
    <x v="0"/>
    <x v="208"/>
    <x v="3"/>
    <n v="5"/>
    <s v="Must Watch"/>
    <x v="4"/>
    <n v="88"/>
    <n v="11"/>
    <n v="9.68"/>
    <n v="3.87"/>
  </r>
  <r>
    <n v="211"/>
    <x v="115"/>
    <x v="1"/>
    <x v="209"/>
    <x v="5"/>
    <n v="4"/>
    <s v="Good"/>
    <x v="1"/>
    <n v="45.3"/>
    <n v="14"/>
    <n v="6.34"/>
    <n v="2.54"/>
  </r>
  <r>
    <n v="212"/>
    <x v="54"/>
    <x v="1"/>
    <x v="210"/>
    <x v="1"/>
    <n v="3"/>
    <s v="Average"/>
    <x v="2"/>
    <n v="8"/>
    <n v="12"/>
    <n v="0.96"/>
    <n v="0.38"/>
  </r>
  <r>
    <n v="213"/>
    <x v="52"/>
    <x v="4"/>
    <x v="211"/>
    <x v="2"/>
    <n v="4"/>
    <s v="Good"/>
    <x v="1"/>
    <n v="40.9"/>
    <n v="17"/>
    <n v="6.95"/>
    <n v="2.78"/>
  </r>
  <r>
    <n v="214"/>
    <x v="41"/>
    <x v="3"/>
    <x v="212"/>
    <x v="2"/>
    <n v="4"/>
    <s v="Good"/>
    <x v="2"/>
    <n v="21.7"/>
    <n v="24"/>
    <n v="5.21"/>
    <n v="2.08"/>
  </r>
  <r>
    <n v="215"/>
    <x v="2"/>
    <x v="4"/>
    <x v="213"/>
    <x v="1"/>
    <n v="5"/>
    <s v="Must Watch"/>
    <x v="0"/>
    <n v="122.8"/>
    <n v="17"/>
    <n v="20.88"/>
    <n v="8.35"/>
  </r>
  <r>
    <n v="216"/>
    <x v="115"/>
    <x v="1"/>
    <x v="214"/>
    <x v="1"/>
    <n v="5"/>
    <s v="Must Watch"/>
    <x v="1"/>
    <n v="121"/>
    <n v="15"/>
    <n v="18.149999999999999"/>
    <n v="7.26"/>
  </r>
  <r>
    <n v="217"/>
    <x v="63"/>
    <x v="3"/>
    <x v="215"/>
    <x v="1"/>
    <n v="3"/>
    <s v="Average"/>
    <x v="0"/>
    <n v="17.3"/>
    <n v="28"/>
    <n v="4.84"/>
    <n v="1.94"/>
  </r>
  <r>
    <n v="218"/>
    <x v="60"/>
    <x v="4"/>
    <x v="216"/>
    <x v="4"/>
    <n v="5"/>
    <s v="Must Watch"/>
    <x v="2"/>
    <n v="143"/>
    <n v="19"/>
    <n v="27.17"/>
    <n v="10.87"/>
  </r>
  <r>
    <n v="219"/>
    <x v="99"/>
    <x v="4"/>
    <x v="217"/>
    <x v="6"/>
    <n v="5"/>
    <s v="Must Watch"/>
    <x v="1"/>
    <n v="115.2"/>
    <n v="19"/>
    <n v="21.89"/>
    <n v="8.76"/>
  </r>
  <r>
    <n v="220"/>
    <x v="116"/>
    <x v="2"/>
    <x v="218"/>
    <x v="1"/>
    <n v="3"/>
    <s v="Average"/>
    <x v="3"/>
    <n v="23.1"/>
    <n v="17"/>
    <n v="3.93"/>
    <n v="1.57"/>
  </r>
  <r>
    <n v="221"/>
    <x v="117"/>
    <x v="3"/>
    <x v="219"/>
    <x v="6"/>
    <n v="5"/>
    <s v="Must Watch"/>
    <x v="4"/>
    <n v="89.7"/>
    <n v="18"/>
    <n v="16.149999999999999"/>
    <n v="6.46"/>
  </r>
  <r>
    <n v="222"/>
    <x v="50"/>
    <x v="4"/>
    <x v="220"/>
    <x v="0"/>
    <n v="3"/>
    <s v="Average"/>
    <x v="0"/>
    <n v="22.7"/>
    <n v="12"/>
    <n v="2.72"/>
    <n v="1.0900000000000001"/>
  </r>
  <r>
    <n v="223"/>
    <x v="39"/>
    <x v="2"/>
    <x v="221"/>
    <x v="1"/>
    <n v="3"/>
    <s v="Average"/>
    <x v="0"/>
    <n v="15.4"/>
    <n v="18"/>
    <n v="2.77"/>
    <n v="1.1100000000000001"/>
  </r>
  <r>
    <n v="224"/>
    <x v="118"/>
    <x v="1"/>
    <x v="222"/>
    <x v="5"/>
    <n v="5"/>
    <s v="Must Watch"/>
    <x v="2"/>
    <n v="75.599999999999994"/>
    <n v="11"/>
    <n v="8.32"/>
    <n v="3.33"/>
  </r>
  <r>
    <n v="225"/>
    <x v="91"/>
    <x v="2"/>
    <x v="223"/>
    <x v="7"/>
    <n v="4"/>
    <s v="Good"/>
    <x v="4"/>
    <n v="30.7"/>
    <n v="13"/>
    <n v="3.99"/>
    <n v="1.6"/>
  </r>
  <r>
    <n v="226"/>
    <x v="119"/>
    <x v="4"/>
    <x v="224"/>
    <x v="7"/>
    <n v="2"/>
    <s v="Poor"/>
    <x v="4"/>
    <n v="10"/>
    <n v="14"/>
    <n v="1.4"/>
    <n v="0.56000000000000005"/>
  </r>
  <r>
    <n v="227"/>
    <x v="79"/>
    <x v="2"/>
    <x v="225"/>
    <x v="1"/>
    <n v="4"/>
    <s v="Good"/>
    <x v="1"/>
    <n v="33.1"/>
    <n v="16"/>
    <n v="5.3"/>
    <n v="2.12"/>
  </r>
  <r>
    <n v="228"/>
    <x v="11"/>
    <x v="3"/>
    <x v="226"/>
    <x v="7"/>
    <n v="4"/>
    <s v="Good"/>
    <x v="2"/>
    <n v="26.7"/>
    <n v="25"/>
    <n v="6.68"/>
    <n v="2.67"/>
  </r>
  <r>
    <n v="229"/>
    <x v="120"/>
    <x v="0"/>
    <x v="227"/>
    <x v="3"/>
    <n v="2"/>
    <s v="Poor"/>
    <x v="0"/>
    <n v="7.3"/>
    <n v="16"/>
    <n v="1.17"/>
    <n v="0.47"/>
  </r>
  <r>
    <n v="230"/>
    <x v="61"/>
    <x v="4"/>
    <x v="228"/>
    <x v="0"/>
    <n v="5"/>
    <s v="Must Watch"/>
    <x v="1"/>
    <n v="47.9"/>
    <n v="22"/>
    <n v="10.54"/>
    <n v="4.22"/>
  </r>
  <r>
    <n v="231"/>
    <x v="58"/>
    <x v="4"/>
    <x v="229"/>
    <x v="1"/>
    <n v="4"/>
    <s v="Good"/>
    <x v="3"/>
    <n v="58.1"/>
    <n v="14"/>
    <n v="8.1300000000000008"/>
    <n v="3.25"/>
  </r>
  <r>
    <n v="232"/>
    <x v="45"/>
    <x v="1"/>
    <x v="230"/>
    <x v="0"/>
    <n v="5"/>
    <s v="Must Watch"/>
    <x v="2"/>
    <n v="43.7"/>
    <n v="10"/>
    <n v="4.37"/>
    <n v="1.75"/>
  </r>
  <r>
    <n v="233"/>
    <x v="85"/>
    <x v="3"/>
    <x v="231"/>
    <x v="1"/>
    <n v="4"/>
    <s v="Good"/>
    <x v="4"/>
    <n v="21.3"/>
    <n v="20"/>
    <n v="4.26"/>
    <n v="1.7"/>
  </r>
  <r>
    <n v="234"/>
    <x v="2"/>
    <x v="4"/>
    <x v="232"/>
    <x v="7"/>
    <n v="5"/>
    <s v="Must Watch"/>
    <x v="0"/>
    <n v="86.6"/>
    <n v="13"/>
    <n v="11.26"/>
    <n v="4.5"/>
  </r>
  <r>
    <n v="235"/>
    <x v="55"/>
    <x v="2"/>
    <x v="233"/>
    <x v="6"/>
    <n v="4"/>
    <s v="Good"/>
    <x v="2"/>
    <n v="32.6"/>
    <n v="16"/>
    <n v="5.22"/>
    <n v="2.09"/>
  </r>
  <r>
    <n v="236"/>
    <x v="121"/>
    <x v="1"/>
    <x v="234"/>
    <x v="7"/>
    <n v="1"/>
    <s v="Poor"/>
    <x v="3"/>
    <n v="3"/>
    <n v="13"/>
    <n v="0.39"/>
    <n v="0.16"/>
  </r>
  <r>
    <n v="237"/>
    <x v="122"/>
    <x v="2"/>
    <x v="235"/>
    <x v="0"/>
    <n v="3"/>
    <s v="Average"/>
    <x v="0"/>
    <n v="20"/>
    <n v="15"/>
    <n v="3"/>
    <n v="1.2"/>
  </r>
  <r>
    <n v="238"/>
    <x v="123"/>
    <x v="4"/>
    <x v="236"/>
    <x v="1"/>
    <n v="5"/>
    <s v="Must Watch"/>
    <x v="2"/>
    <n v="61"/>
    <n v="14"/>
    <n v="8.5399999999999991"/>
    <n v="3.42"/>
  </r>
  <r>
    <n v="239"/>
    <x v="124"/>
    <x v="0"/>
    <x v="237"/>
    <x v="0"/>
    <n v="4"/>
    <s v="Good"/>
    <x v="2"/>
    <n v="59.9"/>
    <n v="15"/>
    <n v="8.99"/>
    <n v="3.6"/>
  </r>
  <r>
    <n v="240"/>
    <x v="125"/>
    <x v="3"/>
    <x v="238"/>
    <x v="1"/>
    <n v="5"/>
    <s v="Must Watch"/>
    <x v="4"/>
    <n v="96.9"/>
    <n v="22"/>
    <n v="21.32"/>
    <n v="8.5299999999999994"/>
  </r>
  <r>
    <n v="241"/>
    <x v="64"/>
    <x v="1"/>
    <x v="239"/>
    <x v="6"/>
    <n v="5"/>
    <s v="Must Watch"/>
    <x v="3"/>
    <n v="123.3"/>
    <n v="14"/>
    <n v="17.260000000000002"/>
    <n v="6.9"/>
  </r>
  <r>
    <n v="242"/>
    <x v="91"/>
    <x v="2"/>
    <x v="240"/>
    <x v="0"/>
    <n v="5"/>
    <s v="Must Watch"/>
    <x v="3"/>
    <n v="64.900000000000006"/>
    <n v="19"/>
    <n v="12.33"/>
    <n v="4.93"/>
  </r>
  <r>
    <n v="243"/>
    <x v="126"/>
    <x v="2"/>
    <x v="241"/>
    <x v="1"/>
    <n v="4"/>
    <s v="Good"/>
    <x v="0"/>
    <n v="38.700000000000003"/>
    <n v="20"/>
    <n v="7.74"/>
    <n v="3.1"/>
  </r>
  <r>
    <n v="244"/>
    <x v="92"/>
    <x v="3"/>
    <x v="242"/>
    <x v="3"/>
    <n v="2"/>
    <s v="Poor"/>
    <x v="2"/>
    <n v="10"/>
    <n v="25"/>
    <n v="2.5"/>
    <n v="1"/>
  </r>
  <r>
    <n v="245"/>
    <x v="36"/>
    <x v="3"/>
    <x v="243"/>
    <x v="6"/>
    <n v="5"/>
    <s v="Must Watch"/>
    <x v="4"/>
    <n v="47.7"/>
    <n v="23"/>
    <n v="10.97"/>
    <n v="4.3899999999999997"/>
  </r>
  <r>
    <n v="246"/>
    <x v="120"/>
    <x v="3"/>
    <x v="244"/>
    <x v="3"/>
    <n v="4"/>
    <s v="Good"/>
    <x v="4"/>
    <n v="33.799999999999997"/>
    <n v="26"/>
    <n v="8.7899999999999991"/>
    <n v="3.52"/>
  </r>
  <r>
    <n v="247"/>
    <x v="19"/>
    <x v="2"/>
    <x v="245"/>
    <x v="6"/>
    <n v="5"/>
    <s v="Must Watch"/>
    <x v="3"/>
    <n v="85.4"/>
    <n v="12"/>
    <n v="10.25"/>
    <n v="4.0999999999999996"/>
  </r>
  <r>
    <n v="248"/>
    <x v="127"/>
    <x v="4"/>
    <x v="246"/>
    <x v="5"/>
    <n v="4"/>
    <s v="Good"/>
    <x v="0"/>
    <n v="26.6"/>
    <n v="17"/>
    <n v="4.5199999999999996"/>
    <n v="1.81"/>
  </r>
  <r>
    <n v="249"/>
    <x v="75"/>
    <x v="0"/>
    <x v="247"/>
    <x v="2"/>
    <n v="3"/>
    <s v="Average"/>
    <x v="4"/>
    <n v="23.2"/>
    <n v="11"/>
    <n v="2.5499999999999998"/>
    <n v="1.02"/>
  </r>
  <r>
    <n v="250"/>
    <x v="111"/>
    <x v="0"/>
    <x v="248"/>
    <x v="5"/>
    <n v="5"/>
    <s v="Must Watch"/>
    <x v="4"/>
    <n v="68.8"/>
    <n v="14"/>
    <n v="9.6300000000000008"/>
    <n v="3.85"/>
  </r>
  <r>
    <n v="251"/>
    <x v="128"/>
    <x v="3"/>
    <x v="249"/>
    <x v="3"/>
    <n v="4"/>
    <s v="Good"/>
    <x v="3"/>
    <n v="43.7"/>
    <n v="27"/>
    <n v="11.8"/>
    <n v="4.72"/>
  </r>
  <r>
    <n v="252"/>
    <x v="129"/>
    <x v="4"/>
    <x v="250"/>
    <x v="6"/>
    <n v="5"/>
    <s v="Must Watch"/>
    <x v="4"/>
    <n v="75.5"/>
    <n v="21"/>
    <n v="15.86"/>
    <n v="6.34"/>
  </r>
  <r>
    <n v="253"/>
    <x v="90"/>
    <x v="4"/>
    <x v="251"/>
    <x v="4"/>
    <n v="5"/>
    <s v="Must Watch"/>
    <x v="1"/>
    <n v="44.8"/>
    <n v="22"/>
    <n v="9.86"/>
    <n v="3.94"/>
  </r>
  <r>
    <n v="254"/>
    <x v="76"/>
    <x v="4"/>
    <x v="252"/>
    <x v="2"/>
    <n v="3"/>
    <s v="Average"/>
    <x v="3"/>
    <n v="21"/>
    <n v="18"/>
    <n v="3.78"/>
    <n v="1.51"/>
  </r>
  <r>
    <n v="255"/>
    <x v="118"/>
    <x v="4"/>
    <x v="253"/>
    <x v="0"/>
    <n v="2"/>
    <s v="Poor"/>
    <x v="4"/>
    <n v="5"/>
    <n v="16"/>
    <n v="0.8"/>
    <n v="0.32"/>
  </r>
  <r>
    <n v="256"/>
    <x v="130"/>
    <x v="2"/>
    <x v="254"/>
    <x v="6"/>
    <n v="5"/>
    <s v="Must Watch"/>
    <x v="2"/>
    <n v="71.2"/>
    <n v="13"/>
    <n v="9.26"/>
    <n v="3.7"/>
  </r>
  <r>
    <n v="257"/>
    <x v="62"/>
    <x v="3"/>
    <x v="255"/>
    <x v="2"/>
    <n v="3"/>
    <s v="Average"/>
    <x v="2"/>
    <n v="16.2"/>
    <n v="21"/>
    <n v="3.4"/>
    <n v="1.36"/>
  </r>
  <r>
    <n v="258"/>
    <x v="68"/>
    <x v="4"/>
    <x v="256"/>
    <x v="2"/>
    <n v="3"/>
    <s v="Average"/>
    <x v="0"/>
    <n v="20.5"/>
    <n v="17"/>
    <n v="3.49"/>
    <n v="1.4"/>
  </r>
  <r>
    <n v="259"/>
    <x v="48"/>
    <x v="0"/>
    <x v="257"/>
    <x v="5"/>
    <n v="5"/>
    <s v="Must Watch"/>
    <x v="4"/>
    <n v="99"/>
    <n v="15"/>
    <n v="14.85"/>
    <n v="5.94"/>
  </r>
  <r>
    <n v="260"/>
    <x v="131"/>
    <x v="3"/>
    <x v="258"/>
    <x v="7"/>
    <n v="3"/>
    <s v="Average"/>
    <x v="2"/>
    <n v="12.2"/>
    <n v="19"/>
    <n v="2.3199999999999998"/>
    <n v="0.93"/>
  </r>
  <r>
    <n v="261"/>
    <x v="70"/>
    <x v="0"/>
    <x v="259"/>
    <x v="6"/>
    <n v="5"/>
    <s v="Must Watch"/>
    <x v="4"/>
    <n v="83.9"/>
    <n v="12"/>
    <n v="10.07"/>
    <n v="4.03"/>
  </r>
  <r>
    <n v="262"/>
    <x v="13"/>
    <x v="1"/>
    <x v="260"/>
    <x v="4"/>
    <n v="5"/>
    <s v="Must Watch"/>
    <x v="0"/>
    <n v="59.9"/>
    <n v="11"/>
    <n v="6.59"/>
    <n v="2.64"/>
  </r>
  <r>
    <n v="263"/>
    <x v="22"/>
    <x v="2"/>
    <x v="261"/>
    <x v="3"/>
    <n v="4"/>
    <s v="Good"/>
    <x v="0"/>
    <n v="39.9"/>
    <n v="13"/>
    <n v="5.19"/>
    <n v="2.08"/>
  </r>
  <r>
    <n v="264"/>
    <x v="17"/>
    <x v="3"/>
    <x v="262"/>
    <x v="7"/>
    <n v="5"/>
    <s v="Must Watch"/>
    <x v="3"/>
    <n v="101.3"/>
    <n v="18"/>
    <n v="18.23"/>
    <n v="7.29"/>
  </r>
  <r>
    <n v="265"/>
    <x v="79"/>
    <x v="2"/>
    <x v="263"/>
    <x v="1"/>
    <n v="4"/>
    <s v="Good"/>
    <x v="2"/>
    <n v="31.4"/>
    <n v="12"/>
    <n v="3.77"/>
    <n v="1.51"/>
  </r>
  <r>
    <n v="266"/>
    <x v="4"/>
    <x v="1"/>
    <x v="264"/>
    <x v="7"/>
    <n v="4"/>
    <s v="Good"/>
    <x v="0"/>
    <n v="49.1"/>
    <n v="16"/>
    <n v="7.86"/>
    <n v="3.14"/>
  </r>
  <r>
    <n v="267"/>
    <x v="40"/>
    <x v="4"/>
    <x v="265"/>
    <x v="1"/>
    <n v="2"/>
    <s v="Poor"/>
    <x v="1"/>
    <n v="7"/>
    <n v="15"/>
    <n v="1.05"/>
    <n v="0.42"/>
  </r>
  <r>
    <n v="268"/>
    <x v="9"/>
    <x v="1"/>
    <x v="266"/>
    <x v="0"/>
    <n v="4"/>
    <s v="Good"/>
    <x v="2"/>
    <n v="40.200000000000003"/>
    <n v="16"/>
    <n v="6.43"/>
    <n v="2.57"/>
  </r>
  <r>
    <n v="269"/>
    <x v="78"/>
    <x v="1"/>
    <x v="267"/>
    <x v="4"/>
    <n v="5"/>
    <s v="Must Watch"/>
    <x v="4"/>
    <n v="111.4"/>
    <n v="10"/>
    <n v="11.14"/>
    <n v="4.46"/>
  </r>
  <r>
    <n v="270"/>
    <x v="132"/>
    <x v="2"/>
    <x v="268"/>
    <x v="0"/>
    <n v="4"/>
    <s v="Good"/>
    <x v="0"/>
    <n v="42.3"/>
    <n v="17"/>
    <n v="7.19"/>
    <n v="2.88"/>
  </r>
  <r>
    <n v="271"/>
    <x v="26"/>
    <x v="0"/>
    <x v="269"/>
    <x v="5"/>
    <n v="3"/>
    <s v="Average"/>
    <x v="4"/>
    <n v="14.8"/>
    <n v="10"/>
    <n v="1.48"/>
    <n v="0.59"/>
  </r>
  <r>
    <n v="272"/>
    <x v="133"/>
    <x v="1"/>
    <x v="270"/>
    <x v="7"/>
    <n v="3"/>
    <s v="Average"/>
    <x v="0"/>
    <n v="21.7"/>
    <n v="14"/>
    <n v="3.04"/>
    <n v="1.22"/>
  </r>
  <r>
    <n v="273"/>
    <x v="13"/>
    <x v="0"/>
    <x v="271"/>
    <x v="5"/>
    <n v="4"/>
    <s v="Good"/>
    <x v="4"/>
    <n v="25.6"/>
    <n v="15"/>
    <n v="3.84"/>
    <n v="1.54"/>
  </r>
  <r>
    <n v="274"/>
    <x v="1"/>
    <x v="1"/>
    <x v="272"/>
    <x v="5"/>
    <n v="5"/>
    <s v="Must Watch"/>
    <x v="0"/>
    <n v="102.3"/>
    <n v="14"/>
    <n v="14.32"/>
    <n v="5.73"/>
  </r>
  <r>
    <n v="275"/>
    <x v="83"/>
    <x v="2"/>
    <x v="273"/>
    <x v="3"/>
    <n v="4"/>
    <s v="Good"/>
    <x v="4"/>
    <n v="32"/>
    <n v="12"/>
    <n v="3.84"/>
    <n v="1.54"/>
  </r>
  <r>
    <n v="276"/>
    <x v="103"/>
    <x v="3"/>
    <x v="274"/>
    <x v="1"/>
    <n v="5"/>
    <s v="Must Watch"/>
    <x v="2"/>
    <n v="101.3"/>
    <n v="28"/>
    <n v="28.36"/>
    <n v="11.34"/>
  </r>
  <r>
    <n v="277"/>
    <x v="133"/>
    <x v="3"/>
    <x v="275"/>
    <x v="7"/>
    <n v="3"/>
    <s v="Average"/>
    <x v="4"/>
    <n v="17.8"/>
    <n v="18"/>
    <n v="3.2"/>
    <n v="1.28"/>
  </r>
  <r>
    <n v="278"/>
    <x v="120"/>
    <x v="3"/>
    <x v="276"/>
    <x v="7"/>
    <n v="3"/>
    <s v="Average"/>
    <x v="4"/>
    <n v="21.2"/>
    <n v="24"/>
    <n v="5.09"/>
    <n v="2.04"/>
  </r>
  <r>
    <n v="279"/>
    <x v="57"/>
    <x v="3"/>
    <x v="277"/>
    <x v="0"/>
    <n v="2"/>
    <s v="Poor"/>
    <x v="1"/>
    <n v="4.3"/>
    <n v="25"/>
    <n v="1.08"/>
    <n v="0.43"/>
  </r>
  <r>
    <n v="280"/>
    <x v="110"/>
    <x v="1"/>
    <x v="278"/>
    <x v="5"/>
    <n v="3"/>
    <s v="Average"/>
    <x v="3"/>
    <n v="15"/>
    <n v="16"/>
    <n v="2.4"/>
    <n v="0.96"/>
  </r>
  <r>
    <n v="281"/>
    <x v="56"/>
    <x v="0"/>
    <x v="279"/>
    <x v="3"/>
    <n v="5"/>
    <s v="Must Watch"/>
    <x v="1"/>
    <n v="114.1"/>
    <n v="13"/>
    <n v="14.83"/>
    <n v="5.93"/>
  </r>
  <r>
    <n v="282"/>
    <x v="123"/>
    <x v="2"/>
    <x v="280"/>
    <x v="1"/>
    <n v="5"/>
    <s v="Must Watch"/>
    <x v="2"/>
    <n v="95.2"/>
    <n v="17"/>
    <n v="16.18"/>
    <n v="6.47"/>
  </r>
  <r>
    <n v="283"/>
    <x v="41"/>
    <x v="3"/>
    <x v="281"/>
    <x v="7"/>
    <n v="5"/>
    <s v="Must Watch"/>
    <x v="0"/>
    <n v="97.4"/>
    <n v="28"/>
    <n v="27.27"/>
    <n v="10.91"/>
  </r>
  <r>
    <n v="284"/>
    <x v="134"/>
    <x v="1"/>
    <x v="282"/>
    <x v="1"/>
    <n v="5"/>
    <s v="Must Watch"/>
    <x v="0"/>
    <n v="104.1"/>
    <n v="11"/>
    <n v="11.45"/>
    <n v="4.58"/>
  </r>
  <r>
    <n v="285"/>
    <x v="130"/>
    <x v="1"/>
    <x v="283"/>
    <x v="4"/>
    <n v="4"/>
    <s v="Good"/>
    <x v="3"/>
    <n v="57.7"/>
    <n v="12"/>
    <n v="6.92"/>
    <n v="2.77"/>
  </r>
  <r>
    <n v="286"/>
    <x v="63"/>
    <x v="1"/>
    <x v="284"/>
    <x v="4"/>
    <n v="5"/>
    <s v="Must Watch"/>
    <x v="2"/>
    <n v="73.3"/>
    <n v="12"/>
    <n v="8.8000000000000007"/>
    <n v="3.52"/>
  </r>
  <r>
    <n v="287"/>
    <x v="135"/>
    <x v="1"/>
    <x v="285"/>
    <x v="1"/>
    <n v="3"/>
    <s v="Average"/>
    <x v="1"/>
    <n v="17.7"/>
    <n v="14"/>
    <n v="2.48"/>
    <n v="0.99"/>
  </r>
  <r>
    <n v="288"/>
    <x v="136"/>
    <x v="2"/>
    <x v="286"/>
    <x v="5"/>
    <n v="5"/>
    <s v="Must Watch"/>
    <x v="3"/>
    <n v="70.5"/>
    <n v="16"/>
    <n v="11.28"/>
    <n v="4.51"/>
  </r>
  <r>
    <n v="289"/>
    <x v="62"/>
    <x v="3"/>
    <x v="287"/>
    <x v="3"/>
    <n v="4"/>
    <s v="Good"/>
    <x v="2"/>
    <n v="46.2"/>
    <n v="25"/>
    <n v="11.55"/>
    <n v="4.62"/>
  </r>
  <r>
    <n v="290"/>
    <x v="137"/>
    <x v="3"/>
    <x v="288"/>
    <x v="0"/>
    <n v="5"/>
    <s v="Must Watch"/>
    <x v="0"/>
    <n v="138"/>
    <n v="22"/>
    <n v="30.36"/>
    <n v="12.14"/>
  </r>
  <r>
    <n v="291"/>
    <x v="84"/>
    <x v="2"/>
    <x v="289"/>
    <x v="0"/>
    <n v="4"/>
    <s v="Good"/>
    <x v="4"/>
    <n v="29.6"/>
    <n v="12"/>
    <n v="3.55"/>
    <n v="1.42"/>
  </r>
  <r>
    <n v="292"/>
    <x v="138"/>
    <x v="2"/>
    <x v="290"/>
    <x v="6"/>
    <n v="5"/>
    <s v="Must Watch"/>
    <x v="1"/>
    <n v="50.5"/>
    <n v="17"/>
    <n v="8.59"/>
    <n v="3.44"/>
  </r>
  <r>
    <n v="293"/>
    <x v="95"/>
    <x v="3"/>
    <x v="291"/>
    <x v="7"/>
    <n v="3"/>
    <s v="Average"/>
    <x v="3"/>
    <n v="8.1"/>
    <n v="26"/>
    <n v="2.11"/>
    <n v="0.84"/>
  </r>
  <r>
    <n v="294"/>
    <x v="37"/>
    <x v="4"/>
    <x v="292"/>
    <x v="6"/>
    <n v="4"/>
    <s v="Good"/>
    <x v="2"/>
    <n v="39.1"/>
    <n v="15"/>
    <n v="5.87"/>
    <n v="2.35"/>
  </r>
  <r>
    <n v="295"/>
    <x v="28"/>
    <x v="3"/>
    <x v="293"/>
    <x v="5"/>
    <n v="4"/>
    <s v="Good"/>
    <x v="1"/>
    <n v="56.3"/>
    <n v="19"/>
    <n v="10.7"/>
    <n v="4.28"/>
  </r>
  <r>
    <n v="296"/>
    <x v="23"/>
    <x v="2"/>
    <x v="294"/>
    <x v="6"/>
    <n v="4"/>
    <s v="Good"/>
    <x v="1"/>
    <n v="56.5"/>
    <n v="14"/>
    <n v="7.91"/>
    <n v="3.16"/>
  </r>
  <r>
    <n v="297"/>
    <x v="41"/>
    <x v="4"/>
    <x v="295"/>
    <x v="4"/>
    <n v="3"/>
    <s v="Average"/>
    <x v="1"/>
    <n v="25"/>
    <n v="18"/>
    <n v="4.5"/>
    <n v="1.8"/>
  </r>
  <r>
    <n v="298"/>
    <x v="132"/>
    <x v="1"/>
    <x v="296"/>
    <x v="5"/>
    <n v="3"/>
    <s v="Average"/>
    <x v="0"/>
    <n v="22.9"/>
    <n v="10"/>
    <n v="2.29"/>
    <n v="0.92"/>
  </r>
  <r>
    <n v="299"/>
    <x v="139"/>
    <x v="0"/>
    <x v="297"/>
    <x v="7"/>
    <n v="4"/>
    <s v="Good"/>
    <x v="0"/>
    <n v="31.4"/>
    <n v="17"/>
    <n v="5.34"/>
    <n v="2.14"/>
  </r>
  <r>
    <n v="300"/>
    <x v="135"/>
    <x v="2"/>
    <x v="298"/>
    <x v="3"/>
    <n v="4"/>
    <s v="Good"/>
    <x v="3"/>
    <n v="52.4"/>
    <n v="17"/>
    <n v="8.91"/>
    <n v="3.56"/>
  </r>
  <r>
    <n v="301"/>
    <x v="87"/>
    <x v="0"/>
    <x v="299"/>
    <x v="2"/>
    <n v="4"/>
    <s v="Good"/>
    <x v="0"/>
    <n v="48.7"/>
    <n v="10"/>
    <n v="4.87"/>
    <n v="1.95"/>
  </r>
  <r>
    <n v="302"/>
    <x v="80"/>
    <x v="0"/>
    <x v="300"/>
    <x v="6"/>
    <n v="5"/>
    <s v="Must Watch"/>
    <x v="4"/>
    <n v="110.8"/>
    <n v="13"/>
    <n v="14.4"/>
    <n v="5.76"/>
  </r>
  <r>
    <n v="303"/>
    <x v="140"/>
    <x v="1"/>
    <x v="301"/>
    <x v="0"/>
    <n v="5"/>
    <s v="Must Watch"/>
    <x v="2"/>
    <n v="126.8"/>
    <n v="14"/>
    <n v="17.75"/>
    <n v="7.1"/>
  </r>
  <r>
    <n v="304"/>
    <x v="113"/>
    <x v="3"/>
    <x v="302"/>
    <x v="3"/>
    <n v="4"/>
    <s v="Good"/>
    <x v="1"/>
    <n v="27.4"/>
    <n v="20"/>
    <n v="5.48"/>
    <n v="2.19"/>
  </r>
  <r>
    <n v="305"/>
    <x v="116"/>
    <x v="2"/>
    <x v="303"/>
    <x v="1"/>
    <n v="5"/>
    <s v="Must Watch"/>
    <x v="1"/>
    <n v="67.400000000000006"/>
    <n v="15"/>
    <n v="10.11"/>
    <n v="4.04"/>
  </r>
  <r>
    <n v="306"/>
    <x v="7"/>
    <x v="3"/>
    <x v="304"/>
    <x v="5"/>
    <n v="5"/>
    <s v="Must Watch"/>
    <x v="0"/>
    <n v="101.2"/>
    <n v="27"/>
    <n v="27.32"/>
    <n v="10.93"/>
  </r>
  <r>
    <n v="307"/>
    <x v="19"/>
    <x v="0"/>
    <x v="305"/>
    <x v="6"/>
    <n v="5"/>
    <s v="Must Watch"/>
    <x v="3"/>
    <n v="46.5"/>
    <n v="11"/>
    <n v="5.12"/>
    <n v="2.0499999999999998"/>
  </r>
  <r>
    <n v="308"/>
    <x v="88"/>
    <x v="3"/>
    <x v="306"/>
    <x v="5"/>
    <n v="3"/>
    <s v="Average"/>
    <x v="4"/>
    <n v="23.7"/>
    <n v="22"/>
    <n v="5.21"/>
    <n v="2.08"/>
  </r>
  <r>
    <n v="309"/>
    <x v="129"/>
    <x v="2"/>
    <x v="307"/>
    <x v="7"/>
    <n v="5"/>
    <s v="Must Watch"/>
    <x v="0"/>
    <n v="78.599999999999994"/>
    <n v="15"/>
    <n v="11.79"/>
    <n v="4.72"/>
  </r>
  <r>
    <n v="310"/>
    <x v="53"/>
    <x v="3"/>
    <x v="308"/>
    <x v="4"/>
    <n v="4"/>
    <s v="Good"/>
    <x v="2"/>
    <n v="49.9"/>
    <n v="27"/>
    <n v="13.47"/>
    <n v="5.39"/>
  </r>
  <r>
    <n v="311"/>
    <x v="88"/>
    <x v="3"/>
    <x v="309"/>
    <x v="6"/>
    <n v="5"/>
    <s v="Must Watch"/>
    <x v="2"/>
    <n v="119.5"/>
    <n v="28"/>
    <n v="33.46"/>
    <n v="13.38"/>
  </r>
  <r>
    <n v="312"/>
    <x v="141"/>
    <x v="2"/>
    <x v="310"/>
    <x v="6"/>
    <n v="5"/>
    <s v="Must Watch"/>
    <x v="4"/>
    <n v="131.69999999999999"/>
    <n v="13"/>
    <n v="17.12"/>
    <n v="6.85"/>
  </r>
  <r>
    <n v="313"/>
    <x v="117"/>
    <x v="3"/>
    <x v="311"/>
    <x v="7"/>
    <n v="4"/>
    <s v="Good"/>
    <x v="0"/>
    <n v="23.1"/>
    <n v="27"/>
    <n v="6.24"/>
    <n v="2.5"/>
  </r>
  <r>
    <n v="314"/>
    <x v="5"/>
    <x v="1"/>
    <x v="312"/>
    <x v="7"/>
    <n v="5"/>
    <s v="Must Watch"/>
    <x v="4"/>
    <n v="61.2"/>
    <n v="14"/>
    <n v="8.57"/>
    <n v="3.43"/>
  </r>
  <r>
    <n v="315"/>
    <x v="36"/>
    <x v="4"/>
    <x v="313"/>
    <x v="6"/>
    <n v="4"/>
    <s v="Good"/>
    <x v="4"/>
    <n v="37.700000000000003"/>
    <n v="22"/>
    <n v="8.2899999999999991"/>
    <n v="3.32"/>
  </r>
  <r>
    <n v="316"/>
    <x v="105"/>
    <x v="1"/>
    <x v="314"/>
    <x v="1"/>
    <n v="4"/>
    <s v="Good"/>
    <x v="1"/>
    <n v="56"/>
    <n v="13"/>
    <n v="7.28"/>
    <n v="2.91"/>
  </r>
  <r>
    <n v="317"/>
    <x v="107"/>
    <x v="3"/>
    <x v="315"/>
    <x v="2"/>
    <n v="4"/>
    <s v="Good"/>
    <x v="4"/>
    <n v="36.6"/>
    <n v="27"/>
    <n v="9.8800000000000008"/>
    <n v="3.95"/>
  </r>
  <r>
    <n v="318"/>
    <x v="100"/>
    <x v="0"/>
    <x v="316"/>
    <x v="7"/>
    <n v="4"/>
    <s v="Good"/>
    <x v="0"/>
    <n v="48.9"/>
    <n v="16"/>
    <n v="7.82"/>
    <n v="3.13"/>
  </r>
  <r>
    <n v="319"/>
    <x v="64"/>
    <x v="2"/>
    <x v="317"/>
    <x v="0"/>
    <n v="5"/>
    <s v="Must Watch"/>
    <x v="4"/>
    <n v="47.7"/>
    <n v="18"/>
    <n v="8.59"/>
    <n v="3.44"/>
  </r>
  <r>
    <n v="320"/>
    <x v="142"/>
    <x v="3"/>
    <x v="318"/>
    <x v="3"/>
    <n v="4"/>
    <s v="Good"/>
    <x v="1"/>
    <n v="57.4"/>
    <n v="19"/>
    <n v="10.91"/>
    <n v="4.3600000000000003"/>
  </r>
  <r>
    <n v="321"/>
    <x v="91"/>
    <x v="2"/>
    <x v="319"/>
    <x v="0"/>
    <n v="4"/>
    <s v="Good"/>
    <x v="3"/>
    <n v="50.8"/>
    <n v="18"/>
    <n v="9.14"/>
    <n v="3.66"/>
  </r>
  <r>
    <n v="322"/>
    <x v="5"/>
    <x v="3"/>
    <x v="320"/>
    <x v="6"/>
    <n v="4"/>
    <s v="Good"/>
    <x v="2"/>
    <n v="35"/>
    <n v="28"/>
    <n v="9.8000000000000007"/>
    <n v="3.92"/>
  </r>
  <r>
    <n v="323"/>
    <x v="143"/>
    <x v="4"/>
    <x v="321"/>
    <x v="4"/>
    <n v="4"/>
    <s v="Good"/>
    <x v="0"/>
    <n v="24.7"/>
    <n v="20"/>
    <n v="4.9400000000000004"/>
    <n v="1.98"/>
  </r>
  <r>
    <n v="324"/>
    <x v="136"/>
    <x v="2"/>
    <x v="322"/>
    <x v="3"/>
    <n v="3"/>
    <s v="Average"/>
    <x v="3"/>
    <n v="22.2"/>
    <n v="12"/>
    <n v="2.66"/>
    <n v="1.06"/>
  </r>
  <r>
    <n v="325"/>
    <x v="144"/>
    <x v="4"/>
    <x v="323"/>
    <x v="7"/>
    <n v="5"/>
    <s v="Must Watch"/>
    <x v="4"/>
    <n v="84.5"/>
    <n v="18"/>
    <n v="15.21"/>
    <n v="6.08"/>
  </r>
  <r>
    <n v="326"/>
    <x v="56"/>
    <x v="2"/>
    <x v="324"/>
    <x v="6"/>
    <n v="4"/>
    <s v="Good"/>
    <x v="3"/>
    <n v="31"/>
    <n v="13"/>
    <n v="4.03"/>
    <n v="1.61"/>
  </r>
  <r>
    <n v="327"/>
    <x v="145"/>
    <x v="3"/>
    <x v="325"/>
    <x v="6"/>
    <n v="4"/>
    <s v="Good"/>
    <x v="1"/>
    <n v="29.6"/>
    <n v="19"/>
    <n v="5.62"/>
    <n v="2.25"/>
  </r>
  <r>
    <n v="328"/>
    <x v="132"/>
    <x v="4"/>
    <x v="326"/>
    <x v="2"/>
    <n v="2"/>
    <s v="Poor"/>
    <x v="4"/>
    <n v="7.7"/>
    <n v="12"/>
    <n v="0.92"/>
    <n v="0.37"/>
  </r>
  <r>
    <n v="329"/>
    <x v="106"/>
    <x v="4"/>
    <x v="327"/>
    <x v="0"/>
    <n v="2"/>
    <s v="Poor"/>
    <x v="2"/>
    <n v="4.5999999999999996"/>
    <n v="15"/>
    <n v="0.69"/>
    <n v="0.28000000000000003"/>
  </r>
  <r>
    <n v="330"/>
    <x v="146"/>
    <x v="4"/>
    <x v="328"/>
    <x v="4"/>
    <n v="5"/>
    <s v="Must Watch"/>
    <x v="3"/>
    <n v="92.9"/>
    <n v="16"/>
    <n v="14.86"/>
    <n v="5.94"/>
  </r>
  <r>
    <n v="331"/>
    <x v="84"/>
    <x v="3"/>
    <x v="329"/>
    <x v="1"/>
    <n v="4"/>
    <s v="Good"/>
    <x v="0"/>
    <n v="29.5"/>
    <n v="20"/>
    <n v="5.9"/>
    <n v="2.36"/>
  </r>
  <r>
    <n v="332"/>
    <x v="79"/>
    <x v="1"/>
    <x v="330"/>
    <x v="0"/>
    <n v="3"/>
    <s v="Average"/>
    <x v="0"/>
    <n v="12.7"/>
    <n v="14"/>
    <n v="1.78"/>
    <n v="0.71"/>
  </r>
  <r>
    <n v="333"/>
    <x v="44"/>
    <x v="4"/>
    <x v="331"/>
    <x v="0"/>
    <n v="5"/>
    <s v="Must Watch"/>
    <x v="2"/>
    <n v="98.4"/>
    <n v="12"/>
    <n v="11.81"/>
    <n v="4.72"/>
  </r>
  <r>
    <n v="334"/>
    <x v="79"/>
    <x v="2"/>
    <x v="332"/>
    <x v="7"/>
    <n v="5"/>
    <s v="Must Watch"/>
    <x v="4"/>
    <n v="73.5"/>
    <n v="18"/>
    <n v="13.23"/>
    <n v="5.29"/>
  </r>
  <r>
    <n v="335"/>
    <x v="76"/>
    <x v="2"/>
    <x v="333"/>
    <x v="6"/>
    <n v="4"/>
    <s v="Good"/>
    <x v="3"/>
    <n v="50.2"/>
    <n v="19"/>
    <n v="9.5399999999999991"/>
    <n v="3.82"/>
  </r>
  <r>
    <n v="336"/>
    <x v="13"/>
    <x v="3"/>
    <x v="334"/>
    <x v="0"/>
    <n v="4"/>
    <s v="Good"/>
    <x v="3"/>
    <n v="52.2"/>
    <n v="18"/>
    <n v="9.4"/>
    <n v="3.76"/>
  </r>
  <r>
    <n v="337"/>
    <x v="69"/>
    <x v="0"/>
    <x v="335"/>
    <x v="3"/>
    <n v="5"/>
    <s v="Must Watch"/>
    <x v="4"/>
    <n v="95.6"/>
    <n v="16"/>
    <n v="15.3"/>
    <n v="6.12"/>
  </r>
  <r>
    <n v="338"/>
    <x v="95"/>
    <x v="3"/>
    <x v="336"/>
    <x v="5"/>
    <n v="3"/>
    <s v="Average"/>
    <x v="1"/>
    <n v="23.7"/>
    <n v="23"/>
    <n v="5.45"/>
    <n v="2.1800000000000002"/>
  </r>
  <r>
    <n v="339"/>
    <x v="41"/>
    <x v="3"/>
    <x v="337"/>
    <x v="0"/>
    <n v="2"/>
    <s v="Poor"/>
    <x v="2"/>
    <n v="7.7"/>
    <n v="27"/>
    <n v="2.08"/>
    <n v="0.83"/>
  </r>
  <r>
    <n v="340"/>
    <x v="42"/>
    <x v="1"/>
    <x v="338"/>
    <x v="7"/>
    <n v="3"/>
    <s v="Average"/>
    <x v="4"/>
    <n v="20.3"/>
    <n v="14"/>
    <n v="2.84"/>
    <n v="1.1399999999999999"/>
  </r>
  <r>
    <n v="341"/>
    <x v="31"/>
    <x v="3"/>
    <x v="339"/>
    <x v="7"/>
    <n v="3"/>
    <s v="Average"/>
    <x v="0"/>
    <n v="13.2"/>
    <n v="18"/>
    <n v="2.38"/>
    <n v="0.95"/>
  </r>
  <r>
    <n v="342"/>
    <x v="136"/>
    <x v="3"/>
    <x v="340"/>
    <x v="0"/>
    <n v="5"/>
    <s v="Must Watch"/>
    <x v="1"/>
    <n v="118.4"/>
    <n v="25"/>
    <n v="29.6"/>
    <n v="11.84"/>
  </r>
  <r>
    <n v="343"/>
    <x v="68"/>
    <x v="2"/>
    <x v="341"/>
    <x v="7"/>
    <n v="4"/>
    <s v="Good"/>
    <x v="3"/>
    <n v="35.9"/>
    <n v="15"/>
    <n v="5.39"/>
    <n v="2.16"/>
  </r>
  <r>
    <n v="344"/>
    <x v="147"/>
    <x v="3"/>
    <x v="342"/>
    <x v="1"/>
    <n v="5"/>
    <s v="Must Watch"/>
    <x v="2"/>
    <n v="89"/>
    <n v="28"/>
    <n v="24.92"/>
    <n v="9.9700000000000006"/>
  </r>
  <r>
    <n v="345"/>
    <x v="25"/>
    <x v="4"/>
    <x v="343"/>
    <x v="1"/>
    <n v="3"/>
    <s v="Average"/>
    <x v="4"/>
    <n v="23"/>
    <n v="19"/>
    <n v="4.37"/>
    <n v="1.75"/>
  </r>
  <r>
    <n v="346"/>
    <x v="67"/>
    <x v="4"/>
    <x v="344"/>
    <x v="4"/>
    <n v="5"/>
    <s v="Must Watch"/>
    <x v="2"/>
    <n v="120"/>
    <n v="17"/>
    <n v="20.399999999999999"/>
    <n v="8.16"/>
  </r>
  <r>
    <n v="347"/>
    <x v="8"/>
    <x v="4"/>
    <x v="345"/>
    <x v="6"/>
    <n v="4"/>
    <s v="Good"/>
    <x v="2"/>
    <n v="21.8"/>
    <n v="15"/>
    <n v="3.27"/>
    <n v="1.31"/>
  </r>
  <r>
    <n v="348"/>
    <x v="125"/>
    <x v="2"/>
    <x v="346"/>
    <x v="0"/>
    <n v="3"/>
    <s v="Average"/>
    <x v="4"/>
    <n v="17.8"/>
    <n v="18"/>
    <n v="3.2"/>
    <n v="1.28"/>
  </r>
  <r>
    <n v="349"/>
    <x v="148"/>
    <x v="2"/>
    <x v="347"/>
    <x v="6"/>
    <n v="3"/>
    <s v="Average"/>
    <x v="3"/>
    <n v="14.5"/>
    <n v="15"/>
    <n v="2.1800000000000002"/>
    <n v="0.87"/>
  </r>
  <r>
    <n v="350"/>
    <x v="149"/>
    <x v="2"/>
    <x v="348"/>
    <x v="3"/>
    <n v="5"/>
    <s v="Must Watch"/>
    <x v="0"/>
    <n v="67"/>
    <n v="19"/>
    <n v="12.73"/>
    <n v="5.09"/>
  </r>
  <r>
    <n v="351"/>
    <x v="1"/>
    <x v="2"/>
    <x v="349"/>
    <x v="5"/>
    <n v="3"/>
    <s v="Average"/>
    <x v="0"/>
    <n v="10.9"/>
    <n v="20"/>
    <n v="2.1800000000000002"/>
    <n v="0.87"/>
  </r>
  <r>
    <n v="352"/>
    <x v="116"/>
    <x v="3"/>
    <x v="350"/>
    <x v="4"/>
    <n v="5"/>
    <s v="Must Watch"/>
    <x v="4"/>
    <n v="144"/>
    <n v="18"/>
    <n v="25.92"/>
    <n v="10.37"/>
  </r>
  <r>
    <n v="353"/>
    <x v="69"/>
    <x v="3"/>
    <x v="351"/>
    <x v="2"/>
    <n v="5"/>
    <s v="Must Watch"/>
    <x v="1"/>
    <n v="139.19999999999999"/>
    <n v="28"/>
    <n v="38.979999999999997"/>
    <n v="15.59"/>
  </r>
  <r>
    <n v="354"/>
    <x v="82"/>
    <x v="2"/>
    <x v="352"/>
    <x v="0"/>
    <n v="4"/>
    <s v="Good"/>
    <x v="3"/>
    <n v="22.7"/>
    <n v="14"/>
    <n v="3.18"/>
    <n v="1.27"/>
  </r>
  <r>
    <n v="355"/>
    <x v="150"/>
    <x v="1"/>
    <x v="353"/>
    <x v="6"/>
    <n v="4"/>
    <s v="Good"/>
    <x v="0"/>
    <n v="22.4"/>
    <n v="15"/>
    <n v="3.36"/>
    <n v="1.34"/>
  </r>
  <r>
    <n v="356"/>
    <x v="45"/>
    <x v="4"/>
    <x v="354"/>
    <x v="2"/>
    <n v="5"/>
    <s v="Must Watch"/>
    <x v="2"/>
    <n v="41.7"/>
    <n v="20"/>
    <n v="8.34"/>
    <n v="3.34"/>
  </r>
  <r>
    <n v="357"/>
    <x v="18"/>
    <x v="3"/>
    <x v="355"/>
    <x v="6"/>
    <n v="1"/>
    <s v="Poor"/>
    <x v="4"/>
    <n v="3.9"/>
    <n v="26"/>
    <n v="1.01"/>
    <n v="0.4"/>
  </r>
  <r>
    <n v="358"/>
    <x v="49"/>
    <x v="3"/>
    <x v="356"/>
    <x v="2"/>
    <n v="4"/>
    <s v="Good"/>
    <x v="2"/>
    <n v="52.2"/>
    <n v="20"/>
    <n v="10.44"/>
    <n v="4.18"/>
  </r>
  <r>
    <n v="359"/>
    <x v="141"/>
    <x v="3"/>
    <x v="357"/>
    <x v="3"/>
    <n v="4"/>
    <s v="Good"/>
    <x v="3"/>
    <n v="27.7"/>
    <n v="26"/>
    <n v="7.2"/>
    <n v="2.88"/>
  </r>
  <r>
    <n v="360"/>
    <x v="46"/>
    <x v="3"/>
    <x v="358"/>
    <x v="1"/>
    <n v="3"/>
    <s v="Average"/>
    <x v="2"/>
    <n v="9.3000000000000007"/>
    <n v="24"/>
    <n v="2.23"/>
    <n v="0.89"/>
  </r>
  <r>
    <n v="361"/>
    <x v="141"/>
    <x v="0"/>
    <x v="359"/>
    <x v="7"/>
    <n v="3"/>
    <s v="Average"/>
    <x v="3"/>
    <n v="13.1"/>
    <n v="11"/>
    <n v="1.44"/>
    <n v="0.57999999999999996"/>
  </r>
  <r>
    <n v="362"/>
    <x v="120"/>
    <x v="3"/>
    <x v="360"/>
    <x v="2"/>
    <n v="3"/>
    <s v="Average"/>
    <x v="2"/>
    <n v="14.4"/>
    <n v="25"/>
    <n v="3.6"/>
    <n v="1.44"/>
  </r>
  <r>
    <n v="363"/>
    <x v="151"/>
    <x v="4"/>
    <x v="361"/>
    <x v="0"/>
    <n v="1"/>
    <s v="Poor"/>
    <x v="3"/>
    <n v="1.3"/>
    <n v="18"/>
    <n v="0.23"/>
    <n v="0.09"/>
  </r>
  <r>
    <n v="364"/>
    <x v="143"/>
    <x v="0"/>
    <x v="362"/>
    <x v="6"/>
    <n v="4"/>
    <s v="Good"/>
    <x v="1"/>
    <n v="55.8"/>
    <n v="10"/>
    <n v="5.58"/>
    <n v="2.23"/>
  </r>
  <r>
    <n v="365"/>
    <x v="122"/>
    <x v="4"/>
    <x v="363"/>
    <x v="6"/>
    <n v="5"/>
    <s v="Must Watch"/>
    <x v="4"/>
    <n v="89.9"/>
    <n v="12"/>
    <n v="10.79"/>
    <n v="4.32"/>
  </r>
  <r>
    <n v="366"/>
    <x v="4"/>
    <x v="4"/>
    <x v="364"/>
    <x v="5"/>
    <n v="5"/>
    <s v="Must Watch"/>
    <x v="0"/>
    <n v="134.4"/>
    <n v="21"/>
    <n v="28.22"/>
    <n v="11.29"/>
  </r>
  <r>
    <n v="367"/>
    <x v="54"/>
    <x v="2"/>
    <x v="365"/>
    <x v="6"/>
    <n v="5"/>
    <s v="Must Watch"/>
    <x v="0"/>
    <n v="41.6"/>
    <n v="15"/>
    <n v="6.24"/>
    <n v="2.5"/>
  </r>
  <r>
    <n v="368"/>
    <x v="77"/>
    <x v="3"/>
    <x v="366"/>
    <x v="4"/>
    <n v="5"/>
    <s v="Must Watch"/>
    <x v="2"/>
    <n v="137.5"/>
    <n v="22"/>
    <n v="30.25"/>
    <n v="12.1"/>
  </r>
  <r>
    <n v="369"/>
    <x v="81"/>
    <x v="3"/>
    <x v="367"/>
    <x v="0"/>
    <n v="4"/>
    <s v="Good"/>
    <x v="2"/>
    <n v="47.1"/>
    <n v="26"/>
    <n v="12.25"/>
    <n v="4.9000000000000004"/>
  </r>
  <r>
    <n v="370"/>
    <x v="152"/>
    <x v="3"/>
    <x v="368"/>
    <x v="6"/>
    <n v="5"/>
    <s v="Must Watch"/>
    <x v="3"/>
    <n v="123"/>
    <n v="19"/>
    <n v="23.37"/>
    <n v="9.35"/>
  </r>
  <r>
    <n v="371"/>
    <x v="63"/>
    <x v="3"/>
    <x v="369"/>
    <x v="1"/>
    <n v="2"/>
    <s v="Poor"/>
    <x v="2"/>
    <n v="4.5999999999999996"/>
    <n v="19"/>
    <n v="0.87"/>
    <n v="0.35"/>
  </r>
  <r>
    <n v="372"/>
    <x v="135"/>
    <x v="1"/>
    <x v="370"/>
    <x v="0"/>
    <n v="5"/>
    <s v="Must Watch"/>
    <x v="4"/>
    <n v="81.7"/>
    <n v="16"/>
    <n v="13.07"/>
    <n v="5.23"/>
  </r>
  <r>
    <n v="373"/>
    <x v="82"/>
    <x v="1"/>
    <x v="371"/>
    <x v="7"/>
    <n v="5"/>
    <s v="Must Watch"/>
    <x v="2"/>
    <n v="91.5"/>
    <n v="12"/>
    <n v="10.98"/>
    <n v="4.3899999999999997"/>
  </r>
  <r>
    <n v="374"/>
    <x v="89"/>
    <x v="1"/>
    <x v="372"/>
    <x v="5"/>
    <n v="4"/>
    <s v="Good"/>
    <x v="4"/>
    <n v="46.4"/>
    <n v="10"/>
    <n v="4.6399999999999997"/>
    <n v="1.86"/>
  </r>
  <r>
    <n v="375"/>
    <x v="23"/>
    <x v="1"/>
    <x v="373"/>
    <x v="0"/>
    <n v="4"/>
    <s v="Good"/>
    <x v="3"/>
    <n v="48.5"/>
    <n v="10"/>
    <n v="4.8499999999999996"/>
    <n v="1.94"/>
  </r>
  <r>
    <n v="376"/>
    <x v="73"/>
    <x v="3"/>
    <x v="374"/>
    <x v="4"/>
    <n v="4"/>
    <s v="Good"/>
    <x v="3"/>
    <n v="49.6"/>
    <n v="23"/>
    <n v="11.41"/>
    <n v="4.5599999999999996"/>
  </r>
  <r>
    <n v="377"/>
    <x v="153"/>
    <x v="2"/>
    <x v="375"/>
    <x v="0"/>
    <n v="3"/>
    <s v="Average"/>
    <x v="0"/>
    <n v="15.6"/>
    <n v="16"/>
    <n v="2.5"/>
    <n v="1"/>
  </r>
  <r>
    <n v="378"/>
    <x v="28"/>
    <x v="2"/>
    <x v="376"/>
    <x v="6"/>
    <n v="3"/>
    <s v="Average"/>
    <x v="2"/>
    <n v="15.6"/>
    <n v="20"/>
    <n v="3.12"/>
    <n v="1.25"/>
  </r>
  <r>
    <n v="379"/>
    <x v="50"/>
    <x v="0"/>
    <x v="377"/>
    <x v="3"/>
    <n v="3"/>
    <s v="Average"/>
    <x v="1"/>
    <n v="14"/>
    <n v="11"/>
    <n v="1.54"/>
    <n v="0.62"/>
  </r>
  <r>
    <n v="380"/>
    <x v="109"/>
    <x v="3"/>
    <x v="378"/>
    <x v="1"/>
    <n v="5"/>
    <s v="Must Watch"/>
    <x v="1"/>
    <n v="70.599999999999994"/>
    <n v="24"/>
    <n v="16.940000000000001"/>
    <n v="6.78"/>
  </r>
  <r>
    <n v="381"/>
    <x v="42"/>
    <x v="0"/>
    <x v="379"/>
    <x v="0"/>
    <n v="5"/>
    <s v="Must Watch"/>
    <x v="4"/>
    <n v="135"/>
    <n v="13"/>
    <n v="17.55"/>
    <n v="7.02"/>
  </r>
  <r>
    <n v="382"/>
    <x v="49"/>
    <x v="4"/>
    <x v="380"/>
    <x v="2"/>
    <n v="3"/>
    <s v="Average"/>
    <x v="2"/>
    <n v="10.9"/>
    <n v="16"/>
    <n v="1.74"/>
    <n v="0.7"/>
  </r>
  <r>
    <n v="383"/>
    <x v="116"/>
    <x v="0"/>
    <x v="381"/>
    <x v="6"/>
    <n v="4"/>
    <s v="Good"/>
    <x v="1"/>
    <n v="26.7"/>
    <n v="14"/>
    <n v="3.74"/>
    <n v="1.5"/>
  </r>
  <r>
    <n v="384"/>
    <x v="50"/>
    <x v="2"/>
    <x v="382"/>
    <x v="1"/>
    <n v="4"/>
    <s v="Good"/>
    <x v="1"/>
    <n v="34.4"/>
    <n v="15"/>
    <n v="5.16"/>
    <n v="2.06"/>
  </r>
  <r>
    <n v="385"/>
    <x v="21"/>
    <x v="0"/>
    <x v="383"/>
    <x v="2"/>
    <n v="4"/>
    <s v="Good"/>
    <x v="4"/>
    <n v="27.8"/>
    <n v="11"/>
    <n v="3.06"/>
    <n v="1.22"/>
  </r>
  <r>
    <n v="386"/>
    <x v="9"/>
    <x v="1"/>
    <x v="384"/>
    <x v="4"/>
    <n v="1"/>
    <s v="Poor"/>
    <x v="2"/>
    <n v="2.2999999999999998"/>
    <n v="14"/>
    <n v="0.32"/>
    <n v="0.13"/>
  </r>
  <r>
    <n v="387"/>
    <x v="33"/>
    <x v="4"/>
    <x v="385"/>
    <x v="4"/>
    <n v="5"/>
    <s v="Must Watch"/>
    <x v="2"/>
    <n v="75.099999999999994"/>
    <n v="22"/>
    <n v="16.52"/>
    <n v="6.61"/>
  </r>
  <r>
    <n v="388"/>
    <x v="19"/>
    <x v="3"/>
    <x v="386"/>
    <x v="4"/>
    <n v="4"/>
    <s v="Good"/>
    <x v="4"/>
    <n v="57.9"/>
    <n v="21"/>
    <n v="12.16"/>
    <n v="4.8600000000000003"/>
  </r>
  <r>
    <n v="389"/>
    <x v="154"/>
    <x v="1"/>
    <x v="387"/>
    <x v="4"/>
    <n v="3"/>
    <s v="Average"/>
    <x v="2"/>
    <n v="24.5"/>
    <n v="12"/>
    <n v="2.94"/>
    <n v="1.18"/>
  </r>
  <r>
    <n v="390"/>
    <x v="87"/>
    <x v="4"/>
    <x v="388"/>
    <x v="0"/>
    <n v="5"/>
    <s v="Must Watch"/>
    <x v="4"/>
    <n v="122.1"/>
    <n v="17"/>
    <n v="20.76"/>
    <n v="8.3000000000000007"/>
  </r>
  <r>
    <n v="391"/>
    <x v="129"/>
    <x v="0"/>
    <x v="389"/>
    <x v="6"/>
    <n v="5"/>
    <s v="Must Watch"/>
    <x v="2"/>
    <n v="78.3"/>
    <n v="13"/>
    <n v="10.18"/>
    <n v="4.07"/>
  </r>
  <r>
    <n v="392"/>
    <x v="55"/>
    <x v="4"/>
    <x v="390"/>
    <x v="2"/>
    <n v="3"/>
    <s v="Average"/>
    <x v="4"/>
    <n v="8.5"/>
    <n v="19"/>
    <n v="1.62"/>
    <n v="0.65"/>
  </r>
  <r>
    <n v="393"/>
    <x v="126"/>
    <x v="3"/>
    <x v="391"/>
    <x v="0"/>
    <n v="4"/>
    <s v="Good"/>
    <x v="0"/>
    <n v="53.3"/>
    <n v="19"/>
    <n v="10.130000000000001"/>
    <n v="4.05"/>
  </r>
  <r>
    <n v="394"/>
    <x v="107"/>
    <x v="1"/>
    <x v="392"/>
    <x v="5"/>
    <n v="5"/>
    <s v="Must Watch"/>
    <x v="3"/>
    <n v="106.5"/>
    <n v="11"/>
    <n v="11.72"/>
    <n v="4.6900000000000004"/>
  </r>
  <r>
    <n v="395"/>
    <x v="48"/>
    <x v="4"/>
    <x v="393"/>
    <x v="0"/>
    <n v="3"/>
    <s v="Average"/>
    <x v="2"/>
    <n v="21.4"/>
    <n v="13"/>
    <n v="2.78"/>
    <n v="1.1100000000000001"/>
  </r>
  <r>
    <n v="396"/>
    <x v="86"/>
    <x v="4"/>
    <x v="394"/>
    <x v="2"/>
    <n v="4"/>
    <s v="Good"/>
    <x v="2"/>
    <n v="41.4"/>
    <n v="18"/>
    <n v="7.45"/>
    <n v="2.98"/>
  </r>
  <r>
    <n v="397"/>
    <x v="85"/>
    <x v="3"/>
    <x v="395"/>
    <x v="2"/>
    <n v="5"/>
    <s v="Must Watch"/>
    <x v="0"/>
    <n v="113.7"/>
    <n v="26"/>
    <n v="29.56"/>
    <n v="11.82"/>
  </r>
  <r>
    <n v="398"/>
    <x v="36"/>
    <x v="2"/>
    <x v="396"/>
    <x v="7"/>
    <n v="5"/>
    <s v="Must Watch"/>
    <x v="1"/>
    <n v="120.7"/>
    <n v="17"/>
    <n v="20.52"/>
    <n v="8.2100000000000009"/>
  </r>
  <r>
    <n v="399"/>
    <x v="75"/>
    <x v="1"/>
    <x v="397"/>
    <x v="1"/>
    <n v="4"/>
    <s v="Good"/>
    <x v="4"/>
    <n v="59.3"/>
    <n v="15"/>
    <n v="8.9"/>
    <n v="3.56"/>
  </r>
  <r>
    <n v="400"/>
    <x v="105"/>
    <x v="3"/>
    <x v="398"/>
    <x v="6"/>
    <n v="5"/>
    <s v="Must Watch"/>
    <x v="0"/>
    <n v="141.4"/>
    <n v="24"/>
    <n v="33.94"/>
    <n v="13.58"/>
  </r>
  <r>
    <n v="401"/>
    <x v="72"/>
    <x v="2"/>
    <x v="399"/>
    <x v="0"/>
    <n v="3"/>
    <s v="Average"/>
    <x v="3"/>
    <n v="16.7"/>
    <n v="20"/>
    <n v="3.34"/>
    <n v="1.34"/>
  </r>
  <r>
    <n v="402"/>
    <x v="137"/>
    <x v="3"/>
    <x v="400"/>
    <x v="0"/>
    <n v="4"/>
    <s v="Good"/>
    <x v="2"/>
    <n v="38.5"/>
    <n v="28"/>
    <n v="10.78"/>
    <n v="4.3099999999999996"/>
  </r>
  <r>
    <n v="403"/>
    <x v="155"/>
    <x v="1"/>
    <x v="401"/>
    <x v="1"/>
    <n v="4"/>
    <s v="Good"/>
    <x v="0"/>
    <n v="59.9"/>
    <n v="13"/>
    <n v="7.79"/>
    <n v="3.12"/>
  </r>
  <r>
    <n v="404"/>
    <x v="84"/>
    <x v="4"/>
    <x v="402"/>
    <x v="1"/>
    <n v="4"/>
    <s v="Good"/>
    <x v="1"/>
    <n v="24.6"/>
    <n v="14"/>
    <n v="3.44"/>
    <n v="1.38"/>
  </r>
  <r>
    <n v="405"/>
    <x v="34"/>
    <x v="0"/>
    <x v="403"/>
    <x v="6"/>
    <n v="4"/>
    <s v="Good"/>
    <x v="3"/>
    <n v="40.799999999999997"/>
    <n v="15"/>
    <n v="6.12"/>
    <n v="2.4500000000000002"/>
  </r>
  <r>
    <n v="406"/>
    <x v="69"/>
    <x v="1"/>
    <x v="404"/>
    <x v="7"/>
    <n v="4"/>
    <s v="Good"/>
    <x v="2"/>
    <n v="32.799999999999997"/>
    <n v="12"/>
    <n v="3.94"/>
    <n v="1.58"/>
  </r>
  <r>
    <n v="407"/>
    <x v="49"/>
    <x v="2"/>
    <x v="405"/>
    <x v="7"/>
    <n v="3"/>
    <s v="Average"/>
    <x v="0"/>
    <n v="19"/>
    <n v="14"/>
    <n v="2.66"/>
    <n v="1.06"/>
  </r>
  <r>
    <n v="408"/>
    <x v="45"/>
    <x v="0"/>
    <x v="406"/>
    <x v="2"/>
    <n v="3"/>
    <s v="Average"/>
    <x v="3"/>
    <n v="17.399999999999999"/>
    <n v="15"/>
    <n v="2.61"/>
    <n v="1.04"/>
  </r>
  <r>
    <n v="409"/>
    <x v="23"/>
    <x v="0"/>
    <x v="407"/>
    <x v="3"/>
    <n v="5"/>
    <s v="Must Watch"/>
    <x v="3"/>
    <n v="123.8"/>
    <n v="12"/>
    <n v="14.86"/>
    <n v="5.94"/>
  </r>
  <r>
    <n v="410"/>
    <x v="80"/>
    <x v="2"/>
    <x v="59"/>
    <x v="7"/>
    <n v="5"/>
    <s v="Must Watch"/>
    <x v="2"/>
    <n v="43.1"/>
    <n v="15"/>
    <n v="6.47"/>
    <n v="2.59"/>
  </r>
  <r>
    <n v="411"/>
    <x v="138"/>
    <x v="0"/>
    <x v="408"/>
    <x v="7"/>
    <n v="4"/>
    <s v="Good"/>
    <x v="1"/>
    <n v="48.2"/>
    <n v="13"/>
    <n v="6.27"/>
    <n v="2.5099999999999998"/>
  </r>
  <r>
    <n v="412"/>
    <x v="27"/>
    <x v="3"/>
    <x v="409"/>
    <x v="3"/>
    <n v="4"/>
    <s v="Good"/>
    <x v="4"/>
    <n v="27.5"/>
    <n v="23"/>
    <n v="6.33"/>
    <n v="2.5299999999999998"/>
  </r>
  <r>
    <n v="413"/>
    <x v="156"/>
    <x v="3"/>
    <x v="410"/>
    <x v="7"/>
    <n v="3"/>
    <s v="Average"/>
    <x v="2"/>
    <n v="17"/>
    <n v="28"/>
    <n v="4.76"/>
    <n v="1.9"/>
  </r>
  <r>
    <n v="414"/>
    <x v="125"/>
    <x v="4"/>
    <x v="411"/>
    <x v="2"/>
    <n v="4"/>
    <s v="Good"/>
    <x v="2"/>
    <n v="43.5"/>
    <n v="17"/>
    <n v="7.4"/>
    <n v="2.96"/>
  </r>
  <r>
    <n v="415"/>
    <x v="89"/>
    <x v="4"/>
    <x v="412"/>
    <x v="4"/>
    <n v="4"/>
    <s v="Good"/>
    <x v="3"/>
    <n v="52.5"/>
    <n v="16"/>
    <n v="8.4"/>
    <n v="3.36"/>
  </r>
  <r>
    <n v="416"/>
    <x v="145"/>
    <x v="2"/>
    <x v="413"/>
    <x v="3"/>
    <n v="3"/>
    <s v="Average"/>
    <x v="3"/>
    <n v="13.3"/>
    <n v="15"/>
    <n v="2"/>
    <n v="0.8"/>
  </r>
  <r>
    <n v="417"/>
    <x v="18"/>
    <x v="4"/>
    <x v="414"/>
    <x v="5"/>
    <n v="3"/>
    <s v="Average"/>
    <x v="3"/>
    <n v="16.7"/>
    <n v="18"/>
    <n v="3.01"/>
    <n v="1.2"/>
  </r>
  <r>
    <n v="418"/>
    <x v="5"/>
    <x v="4"/>
    <x v="415"/>
    <x v="6"/>
    <n v="4"/>
    <s v="Good"/>
    <x v="2"/>
    <n v="27.4"/>
    <n v="22"/>
    <n v="6.03"/>
    <n v="2.41"/>
  </r>
  <r>
    <n v="419"/>
    <x v="157"/>
    <x v="0"/>
    <x v="416"/>
    <x v="2"/>
    <n v="5"/>
    <s v="Must Watch"/>
    <x v="3"/>
    <n v="98.3"/>
    <n v="17"/>
    <n v="16.71"/>
    <n v="6.68"/>
  </r>
  <r>
    <n v="420"/>
    <x v="25"/>
    <x v="1"/>
    <x v="417"/>
    <x v="6"/>
    <n v="3"/>
    <s v="Average"/>
    <x v="2"/>
    <n v="18.5"/>
    <n v="16"/>
    <n v="2.96"/>
    <n v="1.18"/>
  </r>
  <r>
    <n v="421"/>
    <x v="70"/>
    <x v="0"/>
    <x v="418"/>
    <x v="0"/>
    <n v="4"/>
    <s v="Good"/>
    <x v="3"/>
    <n v="52.6"/>
    <n v="17"/>
    <n v="8.94"/>
    <n v="3.58"/>
  </r>
  <r>
    <n v="422"/>
    <x v="99"/>
    <x v="1"/>
    <x v="419"/>
    <x v="1"/>
    <n v="4"/>
    <s v="Good"/>
    <x v="2"/>
    <n v="39.5"/>
    <n v="10"/>
    <n v="3.95"/>
    <n v="1.58"/>
  </r>
  <r>
    <n v="423"/>
    <x v="158"/>
    <x v="2"/>
    <x v="420"/>
    <x v="0"/>
    <n v="5"/>
    <s v="Must Watch"/>
    <x v="3"/>
    <n v="70.7"/>
    <n v="16"/>
    <n v="11.31"/>
    <n v="4.5199999999999996"/>
  </r>
  <r>
    <n v="424"/>
    <x v="85"/>
    <x v="2"/>
    <x v="421"/>
    <x v="3"/>
    <n v="4"/>
    <s v="Good"/>
    <x v="2"/>
    <n v="42.6"/>
    <n v="19"/>
    <n v="8.09"/>
    <n v="3.24"/>
  </r>
  <r>
    <n v="425"/>
    <x v="90"/>
    <x v="1"/>
    <x v="422"/>
    <x v="0"/>
    <n v="3"/>
    <s v="Average"/>
    <x v="1"/>
    <n v="12.6"/>
    <n v="14"/>
    <n v="1.76"/>
    <n v="0.7"/>
  </r>
  <r>
    <n v="426"/>
    <x v="17"/>
    <x v="2"/>
    <x v="423"/>
    <x v="3"/>
    <n v="5"/>
    <s v="Must Watch"/>
    <x v="1"/>
    <n v="119.8"/>
    <n v="19"/>
    <n v="22.76"/>
    <n v="9.1"/>
  </r>
  <r>
    <n v="427"/>
    <x v="148"/>
    <x v="3"/>
    <x v="424"/>
    <x v="0"/>
    <n v="5"/>
    <s v="Must Watch"/>
    <x v="1"/>
    <n v="117.3"/>
    <n v="28"/>
    <n v="32.840000000000003"/>
    <n v="13.14"/>
  </r>
  <r>
    <n v="428"/>
    <x v="5"/>
    <x v="0"/>
    <x v="425"/>
    <x v="5"/>
    <n v="4"/>
    <s v="Good"/>
    <x v="1"/>
    <n v="38"/>
    <n v="15"/>
    <n v="5.7"/>
    <n v="2.2799999999999998"/>
  </r>
  <r>
    <n v="429"/>
    <x v="76"/>
    <x v="3"/>
    <x v="426"/>
    <x v="3"/>
    <n v="4"/>
    <s v="Good"/>
    <x v="1"/>
    <n v="51"/>
    <n v="21"/>
    <n v="10.71"/>
    <n v="4.28"/>
  </r>
  <r>
    <n v="430"/>
    <x v="159"/>
    <x v="3"/>
    <x v="427"/>
    <x v="1"/>
    <n v="5"/>
    <s v="Must Watch"/>
    <x v="4"/>
    <n v="106.4"/>
    <n v="20"/>
    <n v="21.28"/>
    <n v="8.51"/>
  </r>
  <r>
    <n v="431"/>
    <x v="71"/>
    <x v="4"/>
    <x v="428"/>
    <x v="6"/>
    <n v="5"/>
    <s v="Must Watch"/>
    <x v="3"/>
    <n v="124.6"/>
    <n v="21"/>
    <n v="26.17"/>
    <n v="10.47"/>
  </r>
  <r>
    <n v="432"/>
    <x v="46"/>
    <x v="0"/>
    <x v="429"/>
    <x v="7"/>
    <n v="4"/>
    <s v="Good"/>
    <x v="4"/>
    <n v="26.7"/>
    <n v="14"/>
    <n v="3.74"/>
    <n v="1.5"/>
  </r>
  <r>
    <n v="433"/>
    <x v="24"/>
    <x v="3"/>
    <x v="430"/>
    <x v="5"/>
    <n v="5"/>
    <s v="Must Watch"/>
    <x v="4"/>
    <n v="143.5"/>
    <n v="28"/>
    <n v="40.18"/>
    <n v="16.07"/>
  </r>
  <r>
    <n v="434"/>
    <x v="134"/>
    <x v="2"/>
    <x v="431"/>
    <x v="6"/>
    <n v="5"/>
    <s v="Must Watch"/>
    <x v="2"/>
    <n v="136.5"/>
    <n v="16"/>
    <n v="21.84"/>
    <n v="8.74"/>
  </r>
  <r>
    <n v="435"/>
    <x v="149"/>
    <x v="3"/>
    <x v="432"/>
    <x v="4"/>
    <n v="5"/>
    <s v="Must Watch"/>
    <x v="3"/>
    <n v="66.2"/>
    <n v="23"/>
    <n v="15.23"/>
    <n v="6.09"/>
  </r>
  <r>
    <n v="436"/>
    <x v="113"/>
    <x v="2"/>
    <x v="433"/>
    <x v="7"/>
    <n v="4"/>
    <s v="Good"/>
    <x v="3"/>
    <n v="43.1"/>
    <n v="16"/>
    <n v="6.9"/>
    <n v="2.76"/>
  </r>
  <r>
    <n v="437"/>
    <x v="49"/>
    <x v="3"/>
    <x v="434"/>
    <x v="6"/>
    <n v="4"/>
    <s v="Good"/>
    <x v="1"/>
    <n v="45.3"/>
    <n v="19"/>
    <n v="8.61"/>
    <n v="3.44"/>
  </r>
  <r>
    <n v="438"/>
    <x v="28"/>
    <x v="3"/>
    <x v="435"/>
    <x v="5"/>
    <n v="5"/>
    <s v="Must Watch"/>
    <x v="0"/>
    <n v="87.7"/>
    <n v="25"/>
    <n v="21.93"/>
    <n v="8.77"/>
  </r>
  <r>
    <n v="439"/>
    <x v="73"/>
    <x v="1"/>
    <x v="436"/>
    <x v="0"/>
    <n v="1"/>
    <s v="Poor"/>
    <x v="1"/>
    <n v="3.9"/>
    <n v="13"/>
    <n v="0.51"/>
    <n v="0.2"/>
  </r>
  <r>
    <n v="440"/>
    <x v="151"/>
    <x v="2"/>
    <x v="437"/>
    <x v="0"/>
    <n v="5"/>
    <s v="Must Watch"/>
    <x v="2"/>
    <n v="62.9"/>
    <n v="18"/>
    <n v="11.32"/>
    <n v="4.53"/>
  </r>
  <r>
    <n v="441"/>
    <x v="37"/>
    <x v="1"/>
    <x v="438"/>
    <x v="6"/>
    <n v="4"/>
    <s v="Good"/>
    <x v="0"/>
    <n v="53.1"/>
    <n v="12"/>
    <n v="6.37"/>
    <n v="2.5499999999999998"/>
  </r>
  <r>
    <n v="442"/>
    <x v="160"/>
    <x v="0"/>
    <x v="439"/>
    <x v="7"/>
    <n v="3"/>
    <s v="Average"/>
    <x v="2"/>
    <n v="21.4"/>
    <n v="10"/>
    <n v="2.14"/>
    <n v="0.86"/>
  </r>
  <r>
    <n v="443"/>
    <x v="161"/>
    <x v="3"/>
    <x v="440"/>
    <x v="3"/>
    <n v="4"/>
    <s v="Good"/>
    <x v="2"/>
    <n v="20.7"/>
    <n v="20"/>
    <n v="4.1399999999999997"/>
    <n v="1.66"/>
  </r>
  <r>
    <n v="444"/>
    <x v="2"/>
    <x v="0"/>
    <x v="441"/>
    <x v="3"/>
    <n v="1"/>
    <s v="Poor"/>
    <x v="2"/>
    <n v="1.8"/>
    <n v="12"/>
    <n v="0.22"/>
    <n v="0.09"/>
  </r>
  <r>
    <n v="445"/>
    <x v="48"/>
    <x v="4"/>
    <x v="442"/>
    <x v="0"/>
    <n v="4"/>
    <s v="Good"/>
    <x v="0"/>
    <n v="23.7"/>
    <n v="17"/>
    <n v="4.03"/>
    <n v="1.61"/>
  </r>
  <r>
    <n v="446"/>
    <x v="94"/>
    <x v="0"/>
    <x v="443"/>
    <x v="0"/>
    <n v="4"/>
    <s v="Good"/>
    <x v="3"/>
    <n v="22.1"/>
    <n v="14"/>
    <n v="3.09"/>
    <n v="1.24"/>
  </r>
  <r>
    <n v="447"/>
    <x v="58"/>
    <x v="2"/>
    <x v="444"/>
    <x v="5"/>
    <n v="5"/>
    <s v="Must Watch"/>
    <x v="1"/>
    <n v="40.1"/>
    <n v="19"/>
    <n v="7.62"/>
    <n v="3.05"/>
  </r>
  <r>
    <n v="448"/>
    <x v="126"/>
    <x v="3"/>
    <x v="445"/>
    <x v="4"/>
    <n v="4"/>
    <s v="Good"/>
    <x v="4"/>
    <n v="47.2"/>
    <n v="18"/>
    <n v="8.5"/>
    <n v="3.4"/>
  </r>
  <r>
    <n v="449"/>
    <x v="162"/>
    <x v="4"/>
    <x v="446"/>
    <x v="0"/>
    <n v="4"/>
    <s v="Good"/>
    <x v="1"/>
    <n v="59.5"/>
    <n v="18"/>
    <n v="10.71"/>
    <n v="4.28"/>
  </r>
  <r>
    <n v="450"/>
    <x v="66"/>
    <x v="4"/>
    <x v="447"/>
    <x v="6"/>
    <n v="4"/>
    <s v="Good"/>
    <x v="3"/>
    <n v="35.299999999999997"/>
    <n v="13"/>
    <n v="4.59"/>
    <n v="1.84"/>
  </r>
  <r>
    <n v="451"/>
    <x v="94"/>
    <x v="0"/>
    <x v="448"/>
    <x v="6"/>
    <n v="4"/>
    <s v="Good"/>
    <x v="0"/>
    <n v="25.5"/>
    <n v="12"/>
    <n v="3.06"/>
    <n v="1.22"/>
  </r>
  <r>
    <n v="452"/>
    <x v="124"/>
    <x v="1"/>
    <x v="449"/>
    <x v="1"/>
    <n v="3"/>
    <s v="Average"/>
    <x v="4"/>
    <n v="17.600000000000001"/>
    <n v="14"/>
    <n v="2.46"/>
    <n v="0.98"/>
  </r>
  <r>
    <n v="453"/>
    <x v="104"/>
    <x v="2"/>
    <x v="450"/>
    <x v="5"/>
    <n v="4"/>
    <s v="Good"/>
    <x v="3"/>
    <n v="45.1"/>
    <n v="14"/>
    <n v="6.31"/>
    <n v="2.52"/>
  </r>
  <r>
    <n v="454"/>
    <x v="25"/>
    <x v="2"/>
    <x v="451"/>
    <x v="3"/>
    <n v="5"/>
    <s v="Must Watch"/>
    <x v="3"/>
    <n v="49.1"/>
    <n v="13"/>
    <n v="6.38"/>
    <n v="2.5499999999999998"/>
  </r>
  <r>
    <n v="455"/>
    <x v="115"/>
    <x v="4"/>
    <x v="452"/>
    <x v="4"/>
    <n v="3"/>
    <s v="Average"/>
    <x v="2"/>
    <n v="14"/>
    <n v="18"/>
    <n v="2.52"/>
    <n v="1.01"/>
  </r>
  <r>
    <n v="456"/>
    <x v="152"/>
    <x v="0"/>
    <x v="453"/>
    <x v="5"/>
    <n v="3"/>
    <s v="Average"/>
    <x v="1"/>
    <n v="12.2"/>
    <n v="14"/>
    <n v="1.71"/>
    <n v="0.68"/>
  </r>
  <r>
    <n v="457"/>
    <x v="53"/>
    <x v="4"/>
    <x v="454"/>
    <x v="0"/>
    <n v="1"/>
    <s v="Poor"/>
    <x v="0"/>
    <n v="1.8"/>
    <n v="21"/>
    <n v="0.38"/>
    <n v="0.15"/>
  </r>
  <r>
    <n v="458"/>
    <x v="52"/>
    <x v="1"/>
    <x v="455"/>
    <x v="6"/>
    <n v="5"/>
    <s v="Must Watch"/>
    <x v="0"/>
    <n v="107.8"/>
    <n v="16"/>
    <n v="17.25"/>
    <n v="6.9"/>
  </r>
  <r>
    <n v="459"/>
    <x v="129"/>
    <x v="2"/>
    <x v="456"/>
    <x v="5"/>
    <n v="4"/>
    <s v="Good"/>
    <x v="3"/>
    <n v="40"/>
    <n v="13"/>
    <n v="5.2"/>
    <n v="2.08"/>
  </r>
  <r>
    <n v="460"/>
    <x v="131"/>
    <x v="1"/>
    <x v="457"/>
    <x v="7"/>
    <n v="5"/>
    <s v="Must Watch"/>
    <x v="0"/>
    <n v="53.9"/>
    <n v="16"/>
    <n v="8.6199999999999992"/>
    <n v="3.45"/>
  </r>
  <r>
    <n v="461"/>
    <x v="84"/>
    <x v="1"/>
    <x v="458"/>
    <x v="0"/>
    <n v="4"/>
    <s v="Good"/>
    <x v="4"/>
    <n v="47.3"/>
    <n v="16"/>
    <n v="7.57"/>
    <n v="3.03"/>
  </r>
  <r>
    <n v="462"/>
    <x v="116"/>
    <x v="2"/>
    <x v="459"/>
    <x v="0"/>
    <n v="1"/>
    <s v="Poor"/>
    <x v="1"/>
    <n v="1.1000000000000001"/>
    <n v="15"/>
    <n v="0.17"/>
    <n v="7.0000000000000007E-2"/>
  </r>
  <r>
    <n v="463"/>
    <x v="19"/>
    <x v="4"/>
    <x v="460"/>
    <x v="5"/>
    <n v="5"/>
    <s v="Must Watch"/>
    <x v="2"/>
    <n v="93.2"/>
    <n v="22"/>
    <n v="20.5"/>
    <n v="8.1999999999999993"/>
  </r>
  <r>
    <n v="464"/>
    <x v="82"/>
    <x v="1"/>
    <x v="461"/>
    <x v="0"/>
    <n v="5"/>
    <s v="Must Watch"/>
    <x v="2"/>
    <n v="113.7"/>
    <n v="10"/>
    <n v="11.37"/>
    <n v="4.55"/>
  </r>
  <r>
    <n v="465"/>
    <x v="141"/>
    <x v="0"/>
    <x v="462"/>
    <x v="7"/>
    <n v="4"/>
    <s v="Good"/>
    <x v="3"/>
    <n v="31.1"/>
    <n v="14"/>
    <n v="4.3499999999999996"/>
    <n v="1.74"/>
  </r>
  <r>
    <n v="466"/>
    <x v="151"/>
    <x v="3"/>
    <x v="463"/>
    <x v="0"/>
    <n v="5"/>
    <s v="Must Watch"/>
    <x v="3"/>
    <n v="96.3"/>
    <n v="24"/>
    <n v="23.11"/>
    <n v="9.24"/>
  </r>
  <r>
    <n v="467"/>
    <x v="48"/>
    <x v="3"/>
    <x v="464"/>
    <x v="3"/>
    <n v="4"/>
    <s v="Good"/>
    <x v="2"/>
    <n v="49.2"/>
    <n v="21"/>
    <n v="10.33"/>
    <n v="4.13"/>
  </r>
  <r>
    <n v="468"/>
    <x v="103"/>
    <x v="2"/>
    <x v="465"/>
    <x v="6"/>
    <n v="3"/>
    <s v="Average"/>
    <x v="2"/>
    <n v="10"/>
    <n v="12"/>
    <n v="1.2"/>
    <n v="0.48"/>
  </r>
  <r>
    <n v="469"/>
    <x v="18"/>
    <x v="3"/>
    <x v="466"/>
    <x v="4"/>
    <n v="3"/>
    <s v="Average"/>
    <x v="3"/>
    <n v="19.899999999999999"/>
    <n v="20"/>
    <n v="3.98"/>
    <n v="1.59"/>
  </r>
  <r>
    <n v="470"/>
    <x v="93"/>
    <x v="4"/>
    <x v="467"/>
    <x v="1"/>
    <n v="4"/>
    <s v="Good"/>
    <x v="0"/>
    <n v="26.7"/>
    <n v="14"/>
    <n v="3.74"/>
    <n v="1.5"/>
  </r>
  <r>
    <n v="471"/>
    <x v="92"/>
    <x v="1"/>
    <x v="468"/>
    <x v="4"/>
    <n v="5"/>
    <s v="Must Watch"/>
    <x v="1"/>
    <n v="121"/>
    <n v="10"/>
    <n v="12.1"/>
    <n v="4.84"/>
  </r>
  <r>
    <n v="472"/>
    <x v="52"/>
    <x v="3"/>
    <x v="469"/>
    <x v="6"/>
    <n v="3"/>
    <s v="Average"/>
    <x v="1"/>
    <n v="12.5"/>
    <n v="27"/>
    <n v="3.38"/>
    <n v="1.35"/>
  </r>
  <r>
    <n v="473"/>
    <x v="107"/>
    <x v="1"/>
    <x v="470"/>
    <x v="7"/>
    <n v="4"/>
    <s v="Good"/>
    <x v="4"/>
    <n v="34.4"/>
    <n v="13"/>
    <n v="4.47"/>
    <n v="1.79"/>
  </r>
  <r>
    <n v="474"/>
    <x v="82"/>
    <x v="2"/>
    <x v="471"/>
    <x v="6"/>
    <n v="4"/>
    <s v="Good"/>
    <x v="0"/>
    <n v="50.9"/>
    <n v="13"/>
    <n v="6.62"/>
    <n v="2.65"/>
  </r>
  <r>
    <n v="475"/>
    <x v="133"/>
    <x v="3"/>
    <x v="472"/>
    <x v="2"/>
    <n v="2"/>
    <s v="Poor"/>
    <x v="1"/>
    <n v="4.7"/>
    <n v="25"/>
    <n v="1.18"/>
    <n v="0.47"/>
  </r>
  <r>
    <n v="476"/>
    <x v="144"/>
    <x v="2"/>
    <x v="473"/>
    <x v="5"/>
    <n v="5"/>
    <s v="Must Watch"/>
    <x v="3"/>
    <n v="137.80000000000001"/>
    <n v="12"/>
    <n v="16.54"/>
    <n v="6.62"/>
  </r>
  <r>
    <n v="477"/>
    <x v="78"/>
    <x v="3"/>
    <x v="474"/>
    <x v="6"/>
    <n v="3"/>
    <s v="Average"/>
    <x v="3"/>
    <n v="15.1"/>
    <n v="23"/>
    <n v="3.47"/>
    <n v="1.39"/>
  </r>
  <r>
    <n v="478"/>
    <x v="128"/>
    <x v="3"/>
    <x v="475"/>
    <x v="3"/>
    <n v="4"/>
    <s v="Good"/>
    <x v="1"/>
    <n v="40.1"/>
    <n v="18"/>
    <n v="7.22"/>
    <n v="2.89"/>
  </r>
  <r>
    <n v="479"/>
    <x v="151"/>
    <x v="0"/>
    <x v="476"/>
    <x v="5"/>
    <n v="5"/>
    <s v="Must Watch"/>
    <x v="1"/>
    <n v="140.19999999999999"/>
    <n v="11"/>
    <n v="15.42"/>
    <n v="6.17"/>
  </r>
  <r>
    <n v="480"/>
    <x v="18"/>
    <x v="2"/>
    <x v="477"/>
    <x v="1"/>
    <n v="5"/>
    <s v="Must Watch"/>
    <x v="0"/>
    <n v="74.400000000000006"/>
    <n v="20"/>
    <n v="14.88"/>
    <n v="5.95"/>
  </r>
  <r>
    <n v="481"/>
    <x v="2"/>
    <x v="2"/>
    <x v="478"/>
    <x v="0"/>
    <n v="4"/>
    <s v="Good"/>
    <x v="0"/>
    <n v="42.6"/>
    <n v="16"/>
    <n v="6.82"/>
    <n v="2.73"/>
  </r>
  <r>
    <n v="482"/>
    <x v="76"/>
    <x v="2"/>
    <x v="479"/>
    <x v="6"/>
    <n v="4"/>
    <s v="Good"/>
    <x v="4"/>
    <n v="58.9"/>
    <n v="15"/>
    <n v="8.84"/>
    <n v="3.54"/>
  </r>
  <r>
    <n v="483"/>
    <x v="7"/>
    <x v="2"/>
    <x v="480"/>
    <x v="6"/>
    <n v="3"/>
    <s v="Average"/>
    <x v="2"/>
    <n v="8.4"/>
    <n v="20"/>
    <n v="1.68"/>
    <n v="0.67"/>
  </r>
  <r>
    <n v="484"/>
    <x v="57"/>
    <x v="3"/>
    <x v="481"/>
    <x v="2"/>
    <n v="5"/>
    <s v="Must Watch"/>
    <x v="1"/>
    <n v="119.7"/>
    <n v="24"/>
    <n v="28.73"/>
    <n v="11.49"/>
  </r>
  <r>
    <n v="485"/>
    <x v="6"/>
    <x v="3"/>
    <x v="482"/>
    <x v="5"/>
    <n v="3"/>
    <s v="Average"/>
    <x v="4"/>
    <n v="24.7"/>
    <n v="24"/>
    <n v="5.93"/>
    <n v="2.37"/>
  </r>
  <r>
    <n v="486"/>
    <x v="76"/>
    <x v="2"/>
    <x v="483"/>
    <x v="0"/>
    <n v="5"/>
    <s v="Must Watch"/>
    <x v="3"/>
    <n v="114.7"/>
    <n v="13"/>
    <n v="14.91"/>
    <n v="5.96"/>
  </r>
  <r>
    <n v="487"/>
    <x v="12"/>
    <x v="3"/>
    <x v="484"/>
    <x v="0"/>
    <n v="5"/>
    <s v="Must Watch"/>
    <x v="4"/>
    <n v="83.4"/>
    <n v="23"/>
    <n v="19.18"/>
    <n v="7.67"/>
  </r>
  <r>
    <n v="488"/>
    <x v="66"/>
    <x v="4"/>
    <x v="485"/>
    <x v="0"/>
    <n v="3"/>
    <s v="Average"/>
    <x v="1"/>
    <n v="16.600000000000001"/>
    <n v="22"/>
    <n v="3.65"/>
    <n v="1.46"/>
  </r>
  <r>
    <n v="489"/>
    <x v="116"/>
    <x v="4"/>
    <x v="486"/>
    <x v="7"/>
    <n v="2"/>
    <s v="Poor"/>
    <x v="4"/>
    <n v="3.4"/>
    <n v="22"/>
    <n v="0.75"/>
    <n v="0.3"/>
  </r>
  <r>
    <n v="490"/>
    <x v="163"/>
    <x v="1"/>
    <x v="487"/>
    <x v="6"/>
    <n v="4"/>
    <s v="Good"/>
    <x v="0"/>
    <n v="57"/>
    <n v="13"/>
    <n v="7.41"/>
    <n v="2.96"/>
  </r>
  <r>
    <n v="491"/>
    <x v="43"/>
    <x v="2"/>
    <x v="488"/>
    <x v="1"/>
    <n v="4"/>
    <s v="Good"/>
    <x v="3"/>
    <n v="23"/>
    <n v="15"/>
    <n v="3.45"/>
    <n v="1.38"/>
  </r>
  <r>
    <n v="492"/>
    <x v="99"/>
    <x v="1"/>
    <x v="489"/>
    <x v="0"/>
    <n v="3"/>
    <s v="Average"/>
    <x v="1"/>
    <n v="10.8"/>
    <n v="13"/>
    <n v="1.4"/>
    <n v="0.56000000000000005"/>
  </r>
  <r>
    <n v="493"/>
    <x v="164"/>
    <x v="2"/>
    <x v="490"/>
    <x v="5"/>
    <n v="3"/>
    <s v="Average"/>
    <x v="0"/>
    <n v="24.4"/>
    <n v="15"/>
    <n v="3.66"/>
    <n v="1.46"/>
  </r>
  <r>
    <n v="494"/>
    <x v="67"/>
    <x v="2"/>
    <x v="491"/>
    <x v="1"/>
    <n v="4"/>
    <s v="Good"/>
    <x v="1"/>
    <n v="23.6"/>
    <n v="16"/>
    <n v="3.78"/>
    <n v="1.51"/>
  </r>
  <r>
    <n v="495"/>
    <x v="123"/>
    <x v="0"/>
    <x v="492"/>
    <x v="2"/>
    <n v="5"/>
    <s v="Must Watch"/>
    <x v="1"/>
    <n v="62.6"/>
    <n v="15"/>
    <n v="9.39"/>
    <n v="3.76"/>
  </r>
  <r>
    <n v="496"/>
    <x v="153"/>
    <x v="0"/>
    <x v="493"/>
    <x v="0"/>
    <n v="5"/>
    <s v="Must Watch"/>
    <x v="0"/>
    <n v="81.599999999999994"/>
    <n v="10"/>
    <n v="8.16"/>
    <n v="3.26"/>
  </r>
  <r>
    <n v="497"/>
    <x v="134"/>
    <x v="1"/>
    <x v="494"/>
    <x v="4"/>
    <n v="3"/>
    <s v="Average"/>
    <x v="3"/>
    <n v="8.5"/>
    <n v="13"/>
    <n v="1.1100000000000001"/>
    <n v="0.44"/>
  </r>
  <r>
    <n v="498"/>
    <x v="159"/>
    <x v="2"/>
    <x v="495"/>
    <x v="3"/>
    <n v="5"/>
    <s v="Must Watch"/>
    <x v="3"/>
    <n v="49.9"/>
    <n v="13"/>
    <n v="6.49"/>
    <n v="2.6"/>
  </r>
  <r>
    <n v="499"/>
    <x v="5"/>
    <x v="2"/>
    <x v="496"/>
    <x v="0"/>
    <n v="1"/>
    <s v="Poor"/>
    <x v="3"/>
    <n v="1.5"/>
    <n v="18"/>
    <n v="0.27"/>
    <n v="0.11"/>
  </r>
  <r>
    <n v="500"/>
    <x v="12"/>
    <x v="3"/>
    <x v="497"/>
    <x v="3"/>
    <n v="4"/>
    <s v="Good"/>
    <x v="0"/>
    <n v="56.7"/>
    <n v="19"/>
    <n v="10.77"/>
    <n v="4.309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9CC010-3078-404A-941A-04862466F8AC}" name="PivotTable1"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P3:Q9" firstHeaderRow="1" firstDataRow="1" firstDataCol="1"/>
  <pivotFields count="14">
    <pivotField showAll="0"/>
    <pivotField axis="axisRow" numFmtId="168" showAll="0">
      <items count="166">
        <item x="115"/>
        <item x="37"/>
        <item x="86"/>
        <item x="135"/>
        <item x="158"/>
        <item x="55"/>
        <item x="161"/>
        <item x="125"/>
        <item x="53"/>
        <item x="34"/>
        <item x="154"/>
        <item x="88"/>
        <item x="46"/>
        <item x="64"/>
        <item x="162"/>
        <item x="101"/>
        <item x="84"/>
        <item x="123"/>
        <item x="42"/>
        <item x="30"/>
        <item x="8"/>
        <item x="93"/>
        <item x="73"/>
        <item x="128"/>
        <item x="121"/>
        <item x="97"/>
        <item x="54"/>
        <item x="136"/>
        <item x="74"/>
        <item x="72"/>
        <item x="68"/>
        <item x="48"/>
        <item x="7"/>
        <item x="147"/>
        <item x="59"/>
        <item x="77"/>
        <item x="25"/>
        <item x="107"/>
        <item x="49"/>
        <item x="116"/>
        <item x="56"/>
        <item x="76"/>
        <item x="4"/>
        <item x="94"/>
        <item x="83"/>
        <item x="143"/>
        <item x="111"/>
        <item x="44"/>
        <item x="2"/>
        <item x="39"/>
        <item x="78"/>
        <item x="24"/>
        <item x="20"/>
        <item x="96"/>
        <item x="5"/>
        <item x="82"/>
        <item x="153"/>
        <item x="134"/>
        <item x="6"/>
        <item x="9"/>
        <item x="66"/>
        <item x="113"/>
        <item x="118"/>
        <item x="35"/>
        <item x="145"/>
        <item x="132"/>
        <item x="108"/>
        <item x="85"/>
        <item x="105"/>
        <item x="75"/>
        <item x="126"/>
        <item x="122"/>
        <item x="60"/>
        <item x="33"/>
        <item x="80"/>
        <item x="102"/>
        <item x="156"/>
        <item x="62"/>
        <item x="138"/>
        <item x="29"/>
        <item x="141"/>
        <item x="112"/>
        <item x="69"/>
        <item x="47"/>
        <item x="40"/>
        <item x="146"/>
        <item x="92"/>
        <item x="21"/>
        <item x="89"/>
        <item x="1"/>
        <item x="10"/>
        <item x="22"/>
        <item x="129"/>
        <item x="90"/>
        <item x="0"/>
        <item x="71"/>
        <item x="140"/>
        <item x="91"/>
        <item x="17"/>
        <item x="38"/>
        <item x="155"/>
        <item x="104"/>
        <item x="151"/>
        <item x="100"/>
        <item x="50"/>
        <item x="131"/>
        <item x="130"/>
        <item x="26"/>
        <item x="119"/>
        <item x="32"/>
        <item x="57"/>
        <item x="103"/>
        <item x="144"/>
        <item x="16"/>
        <item x="137"/>
        <item x="81"/>
        <item x="52"/>
        <item x="164"/>
        <item x="117"/>
        <item x="148"/>
        <item x="43"/>
        <item x="63"/>
        <item x="159"/>
        <item x="11"/>
        <item x="41"/>
        <item x="14"/>
        <item x="67"/>
        <item x="157"/>
        <item x="36"/>
        <item x="79"/>
        <item x="160"/>
        <item x="28"/>
        <item x="133"/>
        <item x="127"/>
        <item x="124"/>
        <item x="87"/>
        <item x="19"/>
        <item x="51"/>
        <item x="3"/>
        <item x="109"/>
        <item x="45"/>
        <item x="18"/>
        <item x="150"/>
        <item x="61"/>
        <item x="15"/>
        <item x="120"/>
        <item x="58"/>
        <item x="139"/>
        <item x="65"/>
        <item x="152"/>
        <item x="149"/>
        <item x="163"/>
        <item x="95"/>
        <item x="106"/>
        <item x="27"/>
        <item x="110"/>
        <item x="99"/>
        <item x="31"/>
        <item x="23"/>
        <item x="12"/>
        <item x="98"/>
        <item x="70"/>
        <item x="142"/>
        <item x="13"/>
        <item x="114"/>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6">
    <i>
      <x v="1"/>
    </i>
    <i>
      <x v="2"/>
    </i>
    <i>
      <x v="3"/>
    </i>
    <i>
      <x v="4"/>
    </i>
    <i>
      <x v="5"/>
    </i>
    <i>
      <x v="6"/>
    </i>
  </rowItems>
  <colItems count="1">
    <i/>
  </colItems>
  <dataFields count="1">
    <dataField name="Sum of Total Sales_x000a_(₹ Crore)" fld="10"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D376AB-868C-4EB8-9E4B-22A2EF6C961A}" name="PivotTable3"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D3:E11" firstHeaderRow="1" firstDataRow="1" firstDataCol="1"/>
  <pivotFields count="14">
    <pivotField showAll="0"/>
    <pivotField numFmtId="168" showAll="0">
      <items count="166">
        <item x="115"/>
        <item x="37"/>
        <item x="86"/>
        <item x="135"/>
        <item x="158"/>
        <item x="55"/>
        <item x="161"/>
        <item x="125"/>
        <item x="53"/>
        <item x="34"/>
        <item x="154"/>
        <item x="88"/>
        <item x="46"/>
        <item x="64"/>
        <item x="162"/>
        <item x="101"/>
        <item x="84"/>
        <item x="123"/>
        <item x="42"/>
        <item x="30"/>
        <item x="8"/>
        <item x="93"/>
        <item x="73"/>
        <item x="128"/>
        <item x="121"/>
        <item x="97"/>
        <item x="54"/>
        <item x="136"/>
        <item x="74"/>
        <item x="72"/>
        <item x="68"/>
        <item x="48"/>
        <item x="7"/>
        <item x="147"/>
        <item x="59"/>
        <item x="77"/>
        <item x="25"/>
        <item x="107"/>
        <item x="49"/>
        <item x="116"/>
        <item x="56"/>
        <item x="76"/>
        <item x="4"/>
        <item x="94"/>
        <item x="83"/>
        <item x="143"/>
        <item x="111"/>
        <item x="44"/>
        <item x="2"/>
        <item x="39"/>
        <item x="78"/>
        <item x="24"/>
        <item x="20"/>
        <item x="96"/>
        <item x="5"/>
        <item x="82"/>
        <item x="153"/>
        <item x="134"/>
        <item x="6"/>
        <item x="9"/>
        <item x="66"/>
        <item x="113"/>
        <item x="118"/>
        <item x="35"/>
        <item x="145"/>
        <item x="132"/>
        <item x="108"/>
        <item x="85"/>
        <item x="105"/>
        <item x="75"/>
        <item x="126"/>
        <item x="122"/>
        <item x="60"/>
        <item x="33"/>
        <item x="80"/>
        <item x="102"/>
        <item x="156"/>
        <item x="62"/>
        <item x="138"/>
        <item x="29"/>
        <item x="141"/>
        <item x="112"/>
        <item x="69"/>
        <item x="47"/>
        <item x="40"/>
        <item x="146"/>
        <item x="92"/>
        <item x="21"/>
        <item x="89"/>
        <item x="1"/>
        <item x="10"/>
        <item x="22"/>
        <item x="129"/>
        <item x="90"/>
        <item x="0"/>
        <item x="71"/>
        <item x="140"/>
        <item x="91"/>
        <item x="17"/>
        <item x="38"/>
        <item x="155"/>
        <item x="104"/>
        <item x="151"/>
        <item x="100"/>
        <item x="50"/>
        <item x="131"/>
        <item x="130"/>
        <item x="26"/>
        <item x="119"/>
        <item x="32"/>
        <item x="57"/>
        <item x="103"/>
        <item x="144"/>
        <item x="16"/>
        <item x="137"/>
        <item x="81"/>
        <item x="52"/>
        <item x="164"/>
        <item x="117"/>
        <item x="148"/>
        <item x="43"/>
        <item x="63"/>
        <item x="159"/>
        <item x="11"/>
        <item x="41"/>
        <item x="14"/>
        <item x="67"/>
        <item x="157"/>
        <item x="36"/>
        <item x="79"/>
        <item x="160"/>
        <item x="28"/>
        <item x="133"/>
        <item x="127"/>
        <item x="124"/>
        <item x="87"/>
        <item x="19"/>
        <item x="51"/>
        <item x="3"/>
        <item x="109"/>
        <item x="45"/>
        <item x="18"/>
        <item x="150"/>
        <item x="61"/>
        <item x="15"/>
        <item x="120"/>
        <item x="58"/>
        <item x="139"/>
        <item x="65"/>
        <item x="152"/>
        <item x="149"/>
        <item x="163"/>
        <item x="95"/>
        <item x="106"/>
        <item x="27"/>
        <item x="110"/>
        <item x="99"/>
        <item x="31"/>
        <item x="23"/>
        <item x="12"/>
        <item x="98"/>
        <item x="70"/>
        <item x="142"/>
        <item x="13"/>
        <item x="114"/>
        <item t="default"/>
      </items>
    </pivotField>
    <pivotField showAll="0"/>
    <pivotField showAll="0"/>
    <pivotField axis="axisRow" showAll="0">
      <items count="9">
        <item x="0"/>
        <item x="1"/>
        <item x="3"/>
        <item x="6"/>
        <item x="4"/>
        <item x="2"/>
        <item x="7"/>
        <item x="5"/>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x v="7"/>
    </i>
  </rowItems>
  <colItems count="1">
    <i/>
  </colItems>
  <dataFields count="1">
    <dataField name="Count of Viewers" fld="8"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A3C197-A5CE-4896-8A23-1DE44A3CDAC1}" name="PivotTable2"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8" firstHeaderRow="1" firstDataRow="1" firstDataCol="1"/>
  <pivotFields count="14">
    <pivotField showAll="0"/>
    <pivotField numFmtId="168" showAll="0">
      <items count="166">
        <item x="115"/>
        <item x="37"/>
        <item x="86"/>
        <item x="135"/>
        <item x="158"/>
        <item x="55"/>
        <item x="161"/>
        <item x="125"/>
        <item x="53"/>
        <item x="34"/>
        <item x="154"/>
        <item x="88"/>
        <item x="46"/>
        <item x="64"/>
        <item x="162"/>
        <item x="101"/>
        <item x="84"/>
        <item x="123"/>
        <item x="42"/>
        <item x="30"/>
        <item x="8"/>
        <item x="93"/>
        <item x="73"/>
        <item x="128"/>
        <item x="121"/>
        <item x="97"/>
        <item x="54"/>
        <item x="136"/>
        <item x="74"/>
        <item x="72"/>
        <item x="68"/>
        <item x="48"/>
        <item x="7"/>
        <item x="147"/>
        <item x="59"/>
        <item x="77"/>
        <item x="25"/>
        <item x="107"/>
        <item x="49"/>
        <item x="116"/>
        <item x="56"/>
        <item x="76"/>
        <item x="4"/>
        <item x="94"/>
        <item x="83"/>
        <item x="143"/>
        <item x="111"/>
        <item x="44"/>
        <item x="2"/>
        <item x="39"/>
        <item x="78"/>
        <item x="24"/>
        <item x="20"/>
        <item x="96"/>
        <item x="5"/>
        <item x="82"/>
        <item x="153"/>
        <item x="134"/>
        <item x="6"/>
        <item x="9"/>
        <item x="66"/>
        <item x="113"/>
        <item x="118"/>
        <item x="35"/>
        <item x="145"/>
        <item x="132"/>
        <item x="108"/>
        <item x="85"/>
        <item x="105"/>
        <item x="75"/>
        <item x="126"/>
        <item x="122"/>
        <item x="60"/>
        <item x="33"/>
        <item x="80"/>
        <item x="102"/>
        <item x="156"/>
        <item x="62"/>
        <item x="138"/>
        <item x="29"/>
        <item x="141"/>
        <item x="112"/>
        <item x="69"/>
        <item x="47"/>
        <item x="40"/>
        <item x="146"/>
        <item x="92"/>
        <item x="21"/>
        <item x="89"/>
        <item x="1"/>
        <item x="10"/>
        <item x="22"/>
        <item x="129"/>
        <item x="90"/>
        <item x="0"/>
        <item x="71"/>
        <item x="140"/>
        <item x="91"/>
        <item x="17"/>
        <item x="38"/>
        <item x="155"/>
        <item x="104"/>
        <item x="151"/>
        <item x="100"/>
        <item x="50"/>
        <item x="131"/>
        <item x="130"/>
        <item x="26"/>
        <item x="119"/>
        <item x="32"/>
        <item x="57"/>
        <item x="103"/>
        <item x="144"/>
        <item x="16"/>
        <item x="137"/>
        <item x="81"/>
        <item x="52"/>
        <item x="164"/>
        <item x="117"/>
        <item x="148"/>
        <item x="43"/>
        <item x="63"/>
        <item x="159"/>
        <item x="11"/>
        <item x="41"/>
        <item x="14"/>
        <item x="67"/>
        <item x="157"/>
        <item x="36"/>
        <item x="79"/>
        <item x="160"/>
        <item x="28"/>
        <item x="133"/>
        <item x="127"/>
        <item x="124"/>
        <item x="87"/>
        <item x="19"/>
        <item x="51"/>
        <item x="3"/>
        <item x="109"/>
        <item x="45"/>
        <item x="18"/>
        <item x="150"/>
        <item x="61"/>
        <item x="15"/>
        <item x="120"/>
        <item x="58"/>
        <item x="139"/>
        <item x="65"/>
        <item x="152"/>
        <item x="149"/>
        <item x="163"/>
        <item x="95"/>
        <item x="106"/>
        <item x="27"/>
        <item x="110"/>
        <item x="99"/>
        <item x="31"/>
        <item x="23"/>
        <item x="12"/>
        <item x="98"/>
        <item x="70"/>
        <item x="142"/>
        <item x="13"/>
        <item x="114"/>
        <item t="default"/>
      </items>
    </pivotField>
    <pivotField axis="axisRow" showAll="0">
      <items count="6">
        <item x="2"/>
        <item x="1"/>
        <item x="3"/>
        <item x="4"/>
        <item x="0"/>
        <item t="default"/>
      </items>
    </pivotField>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Items count="1">
    <i/>
  </colItems>
  <dataFields count="1">
    <dataField name="Total Sales((₹ Crore)" fld="10" baseField="1"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41CD8-4C9C-4A72-A68F-9993320E164D}" name="PivotTable7"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M3:N9" firstHeaderRow="1" firstDataRow="1" firstDataCol="1"/>
  <pivotFields count="14">
    <pivotField showAll="0"/>
    <pivotField numFmtId="168" showAll="0">
      <items count="166">
        <item x="115"/>
        <item x="37"/>
        <item x="86"/>
        <item x="135"/>
        <item x="158"/>
        <item x="55"/>
        <item x="161"/>
        <item x="125"/>
        <item x="53"/>
        <item x="34"/>
        <item x="154"/>
        <item x="88"/>
        <item x="46"/>
        <item x="64"/>
        <item x="162"/>
        <item x="101"/>
        <item x="84"/>
        <item x="123"/>
        <item x="42"/>
        <item x="30"/>
        <item x="8"/>
        <item x="93"/>
        <item x="73"/>
        <item x="128"/>
        <item x="121"/>
        <item x="97"/>
        <item x="54"/>
        <item x="136"/>
        <item x="74"/>
        <item x="72"/>
        <item x="68"/>
        <item x="48"/>
        <item x="7"/>
        <item x="147"/>
        <item x="59"/>
        <item x="77"/>
        <item x="25"/>
        <item x="107"/>
        <item x="49"/>
        <item x="116"/>
        <item x="56"/>
        <item x="76"/>
        <item x="4"/>
        <item x="94"/>
        <item x="83"/>
        <item x="143"/>
        <item x="111"/>
        <item x="44"/>
        <item x="2"/>
        <item x="39"/>
        <item x="78"/>
        <item x="24"/>
        <item x="20"/>
        <item x="96"/>
        <item x="5"/>
        <item x="82"/>
        <item x="153"/>
        <item x="134"/>
        <item x="6"/>
        <item x="9"/>
        <item x="66"/>
        <item x="113"/>
        <item x="118"/>
        <item x="35"/>
        <item x="145"/>
        <item x="132"/>
        <item x="108"/>
        <item x="85"/>
        <item x="105"/>
        <item x="75"/>
        <item x="126"/>
        <item x="122"/>
        <item x="60"/>
        <item x="33"/>
        <item x="80"/>
        <item x="102"/>
        <item x="156"/>
        <item x="62"/>
        <item x="138"/>
        <item x="29"/>
        <item x="141"/>
        <item x="112"/>
        <item x="69"/>
        <item x="47"/>
        <item x="40"/>
        <item x="146"/>
        <item x="92"/>
        <item x="21"/>
        <item x="89"/>
        <item x="1"/>
        <item x="10"/>
        <item x="22"/>
        <item x="129"/>
        <item x="90"/>
        <item x="0"/>
        <item x="71"/>
        <item x="140"/>
        <item x="91"/>
        <item x="17"/>
        <item x="38"/>
        <item x="155"/>
        <item x="104"/>
        <item x="151"/>
        <item x="100"/>
        <item x="50"/>
        <item x="131"/>
        <item x="130"/>
        <item x="26"/>
        <item x="119"/>
        <item x="32"/>
        <item x="57"/>
        <item x="103"/>
        <item x="144"/>
        <item x="16"/>
        <item x="137"/>
        <item x="81"/>
        <item x="52"/>
        <item x="164"/>
        <item x="117"/>
        <item x="148"/>
        <item x="43"/>
        <item x="63"/>
        <item x="159"/>
        <item x="11"/>
        <item x="41"/>
        <item x="14"/>
        <item x="67"/>
        <item x="157"/>
        <item x="36"/>
        <item x="79"/>
        <item x="160"/>
        <item x="28"/>
        <item x="133"/>
        <item x="127"/>
        <item x="124"/>
        <item x="87"/>
        <item x="19"/>
        <item x="51"/>
        <item x="3"/>
        <item x="109"/>
        <item x="45"/>
        <item x="18"/>
        <item x="150"/>
        <item x="61"/>
        <item x="15"/>
        <item x="120"/>
        <item x="58"/>
        <item x="139"/>
        <item x="65"/>
        <item x="152"/>
        <item x="149"/>
        <item x="163"/>
        <item x="95"/>
        <item x="106"/>
        <item x="27"/>
        <item x="110"/>
        <item x="99"/>
        <item x="31"/>
        <item x="23"/>
        <item x="12"/>
        <item x="98"/>
        <item x="70"/>
        <item x="142"/>
        <item x="13"/>
        <item x="114"/>
        <item t="default"/>
      </items>
    </pivotField>
    <pivotField showAll="0"/>
    <pivotField axis="axisRow" showAll="0" measureFilter="1">
      <items count="499">
        <item x="37"/>
        <item x="82"/>
        <item x="162"/>
        <item x="356"/>
        <item x="430"/>
        <item x="300"/>
        <item x="383"/>
        <item x="85"/>
        <item x="113"/>
        <item x="449"/>
        <item x="470"/>
        <item x="139"/>
        <item x="347"/>
        <item x="305"/>
        <item x="18"/>
        <item x="134"/>
        <item x="317"/>
        <item x="168"/>
        <item x="461"/>
        <item x="225"/>
        <item x="480"/>
        <item x="446"/>
        <item x="236"/>
        <item x="253"/>
        <item x="415"/>
        <item x="428"/>
        <item x="125"/>
        <item x="152"/>
        <item x="274"/>
        <item x="309"/>
        <item x="320"/>
        <item x="497"/>
        <item x="22"/>
        <item x="106"/>
        <item x="135"/>
        <item x="10"/>
        <item x="39"/>
        <item x="137"/>
        <item x="177"/>
        <item x="455"/>
        <item x="457"/>
        <item x="310"/>
        <item x="60"/>
        <item x="100"/>
        <item x="210"/>
        <item x="214"/>
        <item x="234"/>
        <item x="283"/>
        <item x="95"/>
        <item x="376"/>
        <item x="399"/>
        <item x="431"/>
        <item x="140"/>
        <item x="467"/>
        <item x="87"/>
        <item x="229"/>
        <item x="265"/>
        <item x="385"/>
        <item x="94"/>
        <item x="268"/>
        <item x="289"/>
        <item x="298"/>
        <item x="496"/>
        <item x="123"/>
        <item x="188"/>
        <item x="199"/>
        <item x="244"/>
        <item x="360"/>
        <item x="398"/>
        <item x="432"/>
        <item x="21"/>
        <item x="190"/>
        <item x="368"/>
        <item x="469"/>
        <item x="275"/>
        <item x="346"/>
        <item x="129"/>
        <item x="410"/>
        <item x="276"/>
        <item x="366"/>
        <item x="464"/>
        <item x="245"/>
        <item x="23"/>
        <item x="131"/>
        <item x="156"/>
        <item x="233"/>
        <item x="294"/>
        <item x="420"/>
        <item x="471"/>
        <item x="132"/>
        <item x="178"/>
        <item x="198"/>
        <item x="204"/>
        <item x="246"/>
        <item x="486"/>
        <item x="28"/>
        <item x="76"/>
        <item x="147"/>
        <item x="337"/>
        <item x="463"/>
        <item x="69"/>
        <item x="88"/>
        <item x="174"/>
        <item x="185"/>
        <item x="219"/>
        <item x="226"/>
        <item x="466"/>
        <item x="43"/>
        <item x="73"/>
        <item x="74"/>
        <item x="209"/>
        <item x="260"/>
        <item x="392"/>
        <item x="438"/>
        <item x="458"/>
        <item x="68"/>
        <item x="84"/>
        <item x="295"/>
        <item x="6"/>
        <item x="46"/>
        <item x="342"/>
        <item x="355"/>
        <item x="400"/>
        <item x="474"/>
        <item x="288"/>
        <item x="339"/>
        <item x="340"/>
        <item x="427"/>
        <item x="114"/>
        <item x="138"/>
        <item x="148"/>
        <item x="192"/>
        <item x="251"/>
        <item x="361"/>
        <item x="460"/>
        <item x="375"/>
        <item x="423"/>
        <item x="473"/>
        <item x="266"/>
        <item x="194"/>
        <item x="3"/>
        <item x="98"/>
        <item x="8"/>
        <item x="50"/>
        <item x="182"/>
        <item x="183"/>
        <item x="488"/>
        <item x="490"/>
        <item x="35"/>
        <item x="51"/>
        <item x="323"/>
        <item x="414"/>
        <item x="155"/>
        <item x="255"/>
        <item x="434"/>
        <item x="325"/>
        <item x="440"/>
        <item x="484"/>
        <item x="47"/>
        <item x="57"/>
        <item x="11"/>
        <item x="19"/>
        <item x="211"/>
        <item x="327"/>
        <item x="363"/>
        <item x="272"/>
        <item x="301"/>
        <item x="397"/>
        <item x="267"/>
        <item x="285"/>
        <item x="372"/>
        <item x="422"/>
        <item x="4"/>
        <item x="221"/>
        <item x="223"/>
        <item x="261"/>
        <item x="348"/>
        <item x="349"/>
        <item x="483"/>
        <item x="40"/>
        <item x="207"/>
        <item x="220"/>
        <item x="252"/>
        <item x="328"/>
        <item x="454"/>
        <item x="14"/>
        <item x="442"/>
        <item x="240"/>
        <item x="324"/>
        <item x="421"/>
        <item x="444"/>
        <item x="170"/>
        <item x="231"/>
        <item x="258"/>
        <item x="334"/>
        <item x="336"/>
        <item x="26"/>
        <item x="238"/>
        <item x="184"/>
        <item x="286"/>
        <item x="282"/>
        <item x="284"/>
        <item x="373"/>
        <item x="158"/>
        <item x="450"/>
        <item x="91"/>
        <item x="197"/>
        <item x="306"/>
        <item x="56"/>
        <item x="180"/>
        <item x="362"/>
        <item x="462"/>
        <item x="142"/>
        <item x="24"/>
        <item x="96"/>
        <item x="79"/>
        <item x="172"/>
        <item x="307"/>
        <item x="124"/>
        <item x="387"/>
        <item x="404"/>
        <item x="195"/>
        <item x="491"/>
        <item x="495"/>
        <item x="216"/>
        <item x="5"/>
        <item x="273"/>
        <item x="116"/>
        <item x="159"/>
        <item x="30"/>
        <item x="248"/>
        <item x="443"/>
        <item x="44"/>
        <item x="121"/>
        <item x="213"/>
        <item x="343"/>
        <item x="412"/>
        <item x="53"/>
        <item x="103"/>
        <item x="290"/>
        <item x="235"/>
        <item x="280"/>
        <item x="34"/>
        <item x="112"/>
        <item x="130"/>
        <item x="141"/>
        <item x="396"/>
        <item x="144"/>
        <item x="262"/>
        <item x="435"/>
        <item x="15"/>
        <item x="49"/>
        <item x="196"/>
        <item x="55"/>
        <item x="160"/>
        <item x="161"/>
        <item x="374"/>
        <item x="409"/>
        <item x="475"/>
        <item x="58"/>
        <item x="312"/>
        <item x="36"/>
        <item x="119"/>
        <item x="187"/>
        <item x="322"/>
        <item x="107"/>
        <item x="227"/>
        <item x="403"/>
        <item x="418"/>
        <item x="429"/>
        <item x="83"/>
        <item x="163"/>
        <item x="157"/>
        <item x="70"/>
        <item x="394"/>
        <item x="485"/>
        <item x="17"/>
        <item x="169"/>
        <item x="367"/>
        <item x="448"/>
        <item x="118"/>
        <item x="166"/>
        <item x="212"/>
        <item x="445"/>
        <item x="171"/>
        <item x="224"/>
        <item x="388"/>
        <item x="90"/>
        <item x="237"/>
        <item x="447"/>
        <item x="277"/>
        <item x="16"/>
        <item x="453"/>
        <item x="41"/>
        <item x="45"/>
        <item x="165"/>
        <item x="299"/>
        <item x="476"/>
        <item x="201"/>
        <item x="384"/>
        <item x="487"/>
        <item x="489"/>
        <item x="314"/>
        <item x="62"/>
        <item x="66"/>
        <item x="150"/>
        <item x="297"/>
        <item x="381"/>
        <item x="67"/>
        <item x="167"/>
        <item x="315"/>
        <item x="38"/>
        <item x="71"/>
        <item x="369"/>
        <item x="136"/>
        <item x="164"/>
        <item x="242"/>
        <item x="218"/>
        <item x="365"/>
        <item x="405"/>
        <item x="269"/>
        <item x="379"/>
        <item x="425"/>
        <item x="378"/>
        <item x="386"/>
        <item x="279"/>
        <item x="143"/>
        <item x="377"/>
        <item x="29"/>
        <item x="93"/>
        <item x="257"/>
        <item x="389"/>
        <item x="145"/>
        <item x="146"/>
        <item x="358"/>
        <item x="330"/>
        <item x="494"/>
        <item x="208"/>
        <item x="335"/>
        <item x="407"/>
        <item x="416"/>
        <item x="439"/>
        <item x="243"/>
        <item x="311"/>
        <item x="351"/>
        <item x="202"/>
        <item x="292"/>
        <item x="345"/>
        <item x="364"/>
        <item x="77"/>
        <item x="92"/>
        <item x="108"/>
        <item x="191"/>
        <item x="200"/>
        <item x="482"/>
        <item x="64"/>
        <item x="206"/>
        <item x="332"/>
        <item x="437"/>
        <item x="241"/>
        <item x="326"/>
        <item x="344"/>
        <item x="402"/>
        <item x="331"/>
        <item x="380"/>
        <item x="390"/>
        <item x="111"/>
        <item x="263"/>
        <item x="352"/>
        <item x="465"/>
        <item x="9"/>
        <item x="128"/>
        <item x="175"/>
        <item x="122"/>
        <item x="302"/>
        <item x="81"/>
        <item x="217"/>
        <item x="78"/>
        <item x="492"/>
        <item x="12"/>
        <item x="109"/>
        <item x="173"/>
        <item x="341"/>
        <item x="433"/>
        <item x="456"/>
        <item x="120"/>
        <item x="417"/>
        <item x="133"/>
        <item x="13"/>
        <item x="287"/>
        <item x="291"/>
        <item x="391"/>
        <item x="20"/>
        <item x="54"/>
        <item x="308"/>
        <item x="329"/>
        <item x="472"/>
        <item x="72"/>
        <item x="222"/>
        <item x="468"/>
        <item x="86"/>
        <item x="333"/>
        <item x="382"/>
        <item x="451"/>
        <item x="2"/>
        <item x="32"/>
        <item x="296"/>
        <item x="151"/>
        <item x="250"/>
        <item x="313"/>
        <item x="452"/>
        <item x="42"/>
        <item x="48"/>
        <item x="75"/>
        <item x="271"/>
        <item x="359"/>
        <item x="408"/>
        <item x="441"/>
        <item x="110"/>
        <item x="353"/>
        <item x="52"/>
        <item x="215"/>
        <item x="293"/>
        <item x="181"/>
        <item x="304"/>
        <item x="281"/>
        <item x="0"/>
        <item x="59"/>
        <item x="259"/>
        <item x="316"/>
        <item x="33"/>
        <item x="426"/>
        <item x="154"/>
        <item x="179"/>
        <item x="203"/>
        <item x="228"/>
        <item x="393"/>
        <item x="7"/>
        <item x="104"/>
        <item x="249"/>
        <item x="1"/>
        <item x="189"/>
        <item x="419"/>
        <item x="97"/>
        <item x="102"/>
        <item x="278"/>
        <item x="370"/>
        <item x="371"/>
        <item x="436"/>
        <item x="27"/>
        <item x="99"/>
        <item x="395"/>
        <item x="424"/>
        <item x="117"/>
        <item x="176"/>
        <item x="205"/>
        <item x="254"/>
        <item x="303"/>
        <item x="319"/>
        <item x="459"/>
        <item x="80"/>
        <item x="477"/>
        <item x="478"/>
        <item x="127"/>
        <item x="61"/>
        <item x="63"/>
        <item x="413"/>
        <item x="479"/>
        <item x="115"/>
        <item x="186"/>
        <item x="256"/>
        <item x="411"/>
        <item x="89"/>
        <item x="105"/>
        <item x="193"/>
        <item x="493"/>
        <item x="247"/>
        <item x="406"/>
        <item x="25"/>
        <item x="350"/>
        <item x="232"/>
        <item x="321"/>
        <item x="354"/>
        <item x="65"/>
        <item x="149"/>
        <item x="101"/>
        <item x="126"/>
        <item x="357"/>
        <item x="401"/>
        <item x="31"/>
        <item x="318"/>
        <item x="481"/>
        <item x="270"/>
        <item x="338"/>
        <item x="153"/>
        <item x="230"/>
        <item x="239"/>
        <item x="264"/>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62"/>
    </i>
    <i>
      <x v="133"/>
    </i>
    <i>
      <x v="184"/>
    </i>
    <i>
      <x v="299"/>
    </i>
    <i>
      <x v="417"/>
    </i>
    <i>
      <x v="459"/>
    </i>
  </rowItems>
  <colItems count="1">
    <i/>
  </colItems>
  <dataFields count="1">
    <dataField name="Sum of Total Sales_x000a_(₹ Crore)" fld="1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top="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339D5F-FE32-4A95-8A87-B35739219B7C}" name="PivotTable5"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J3:K9" firstHeaderRow="1" firstDataRow="1" firstDataCol="1"/>
  <pivotFields count="14">
    <pivotField showAll="0"/>
    <pivotField numFmtId="168" showAll="0">
      <items count="166">
        <item x="115"/>
        <item x="37"/>
        <item x="86"/>
        <item x="135"/>
        <item x="158"/>
        <item x="55"/>
        <item x="161"/>
        <item x="125"/>
        <item x="53"/>
        <item x="34"/>
        <item x="154"/>
        <item x="88"/>
        <item x="46"/>
        <item x="64"/>
        <item x="162"/>
        <item x="101"/>
        <item x="84"/>
        <item x="123"/>
        <item x="42"/>
        <item x="30"/>
        <item x="8"/>
        <item x="93"/>
        <item x="73"/>
        <item x="128"/>
        <item x="121"/>
        <item x="97"/>
        <item x="54"/>
        <item x="136"/>
        <item x="74"/>
        <item x="72"/>
        <item x="68"/>
        <item x="48"/>
        <item x="7"/>
        <item x="147"/>
        <item x="59"/>
        <item x="77"/>
        <item x="25"/>
        <item x="107"/>
        <item x="49"/>
        <item x="116"/>
        <item x="56"/>
        <item x="76"/>
        <item x="4"/>
        <item x="94"/>
        <item x="83"/>
        <item x="143"/>
        <item x="111"/>
        <item x="44"/>
        <item x="2"/>
        <item x="39"/>
        <item x="78"/>
        <item x="24"/>
        <item x="20"/>
        <item x="96"/>
        <item x="5"/>
        <item x="82"/>
        <item x="153"/>
        <item x="134"/>
        <item x="6"/>
        <item x="9"/>
        <item x="66"/>
        <item x="113"/>
        <item x="118"/>
        <item x="35"/>
        <item x="145"/>
        <item x="132"/>
        <item x="108"/>
        <item x="85"/>
        <item x="105"/>
        <item x="75"/>
        <item x="126"/>
        <item x="122"/>
        <item x="60"/>
        <item x="33"/>
        <item x="80"/>
        <item x="102"/>
        <item x="156"/>
        <item x="62"/>
        <item x="138"/>
        <item x="29"/>
        <item x="141"/>
        <item x="112"/>
        <item x="69"/>
        <item x="47"/>
        <item x="40"/>
        <item x="146"/>
        <item x="92"/>
        <item x="21"/>
        <item x="89"/>
        <item x="1"/>
        <item x="10"/>
        <item x="22"/>
        <item x="129"/>
        <item x="90"/>
        <item x="0"/>
        <item x="71"/>
        <item x="140"/>
        <item x="91"/>
        <item x="17"/>
        <item x="38"/>
        <item x="155"/>
        <item x="104"/>
        <item x="151"/>
        <item x="100"/>
        <item x="50"/>
        <item x="131"/>
        <item x="130"/>
        <item x="26"/>
        <item x="119"/>
        <item x="32"/>
        <item x="57"/>
        <item x="103"/>
        <item x="144"/>
        <item x="16"/>
        <item x="137"/>
        <item x="81"/>
        <item x="52"/>
        <item x="164"/>
        <item x="117"/>
        <item x="148"/>
        <item x="43"/>
        <item x="63"/>
        <item x="159"/>
        <item x="11"/>
        <item x="41"/>
        <item x="14"/>
        <item x="67"/>
        <item x="157"/>
        <item x="36"/>
        <item x="79"/>
        <item x="160"/>
        <item x="28"/>
        <item x="133"/>
        <item x="127"/>
        <item x="124"/>
        <item x="87"/>
        <item x="19"/>
        <item x="51"/>
        <item x="3"/>
        <item x="109"/>
        <item x="45"/>
        <item x="18"/>
        <item x="150"/>
        <item x="61"/>
        <item x="15"/>
        <item x="120"/>
        <item x="58"/>
        <item x="139"/>
        <item x="65"/>
        <item x="152"/>
        <item x="149"/>
        <item x="163"/>
        <item x="95"/>
        <item x="106"/>
        <item x="27"/>
        <item x="110"/>
        <item x="99"/>
        <item x="31"/>
        <item x="23"/>
        <item x="12"/>
        <item x="98"/>
        <item x="70"/>
        <item x="142"/>
        <item x="13"/>
        <item x="114"/>
        <item t="default"/>
      </items>
    </pivotField>
    <pivotField showAll="0"/>
    <pivotField axis="axisRow" showAll="0" measureFilter="1">
      <items count="499">
        <item x="37"/>
        <item x="82"/>
        <item x="162"/>
        <item x="356"/>
        <item x="430"/>
        <item x="300"/>
        <item x="383"/>
        <item x="85"/>
        <item x="113"/>
        <item x="449"/>
        <item x="470"/>
        <item x="139"/>
        <item x="347"/>
        <item x="305"/>
        <item x="18"/>
        <item x="134"/>
        <item x="317"/>
        <item x="168"/>
        <item x="461"/>
        <item x="225"/>
        <item x="480"/>
        <item x="446"/>
        <item x="236"/>
        <item x="253"/>
        <item x="415"/>
        <item x="428"/>
        <item x="125"/>
        <item x="152"/>
        <item x="274"/>
        <item x="309"/>
        <item x="320"/>
        <item x="497"/>
        <item x="22"/>
        <item x="106"/>
        <item x="135"/>
        <item x="10"/>
        <item x="39"/>
        <item x="137"/>
        <item x="177"/>
        <item x="455"/>
        <item x="457"/>
        <item x="310"/>
        <item x="60"/>
        <item x="100"/>
        <item x="210"/>
        <item x="214"/>
        <item x="234"/>
        <item x="283"/>
        <item x="95"/>
        <item x="376"/>
        <item x="399"/>
        <item x="431"/>
        <item x="140"/>
        <item x="467"/>
        <item x="87"/>
        <item x="229"/>
        <item x="265"/>
        <item x="385"/>
        <item x="94"/>
        <item x="268"/>
        <item x="289"/>
        <item x="298"/>
        <item x="496"/>
        <item x="123"/>
        <item x="188"/>
        <item x="199"/>
        <item x="244"/>
        <item x="360"/>
        <item x="398"/>
        <item x="432"/>
        <item x="21"/>
        <item x="190"/>
        <item x="368"/>
        <item x="469"/>
        <item x="275"/>
        <item x="346"/>
        <item x="129"/>
        <item x="410"/>
        <item x="276"/>
        <item x="366"/>
        <item x="464"/>
        <item x="245"/>
        <item x="23"/>
        <item x="131"/>
        <item x="156"/>
        <item x="233"/>
        <item x="294"/>
        <item x="420"/>
        <item x="471"/>
        <item x="132"/>
        <item x="178"/>
        <item x="198"/>
        <item x="204"/>
        <item x="246"/>
        <item x="486"/>
        <item x="28"/>
        <item x="76"/>
        <item x="147"/>
        <item x="337"/>
        <item x="463"/>
        <item x="69"/>
        <item x="88"/>
        <item x="174"/>
        <item x="185"/>
        <item x="219"/>
        <item x="226"/>
        <item x="466"/>
        <item x="43"/>
        <item x="73"/>
        <item x="74"/>
        <item x="209"/>
        <item x="260"/>
        <item x="392"/>
        <item x="438"/>
        <item x="458"/>
        <item x="68"/>
        <item x="84"/>
        <item x="295"/>
        <item x="6"/>
        <item x="46"/>
        <item x="342"/>
        <item x="355"/>
        <item x="400"/>
        <item x="474"/>
        <item x="288"/>
        <item x="339"/>
        <item x="340"/>
        <item x="427"/>
        <item x="114"/>
        <item x="138"/>
        <item x="148"/>
        <item x="192"/>
        <item x="251"/>
        <item x="361"/>
        <item x="460"/>
        <item x="375"/>
        <item x="423"/>
        <item x="473"/>
        <item x="266"/>
        <item x="194"/>
        <item x="3"/>
        <item x="98"/>
        <item x="8"/>
        <item x="50"/>
        <item x="182"/>
        <item x="183"/>
        <item x="488"/>
        <item x="490"/>
        <item x="35"/>
        <item x="51"/>
        <item x="323"/>
        <item x="414"/>
        <item x="155"/>
        <item x="255"/>
        <item x="434"/>
        <item x="325"/>
        <item x="440"/>
        <item x="484"/>
        <item x="47"/>
        <item x="57"/>
        <item x="11"/>
        <item x="19"/>
        <item x="211"/>
        <item x="327"/>
        <item x="363"/>
        <item x="272"/>
        <item x="301"/>
        <item x="397"/>
        <item x="267"/>
        <item x="285"/>
        <item x="372"/>
        <item x="422"/>
        <item x="4"/>
        <item x="221"/>
        <item x="223"/>
        <item x="261"/>
        <item x="348"/>
        <item x="349"/>
        <item x="483"/>
        <item x="40"/>
        <item x="207"/>
        <item x="220"/>
        <item x="252"/>
        <item x="328"/>
        <item x="454"/>
        <item x="14"/>
        <item x="442"/>
        <item x="240"/>
        <item x="324"/>
        <item x="421"/>
        <item x="444"/>
        <item x="170"/>
        <item x="231"/>
        <item x="258"/>
        <item x="334"/>
        <item x="336"/>
        <item x="26"/>
        <item x="238"/>
        <item x="184"/>
        <item x="286"/>
        <item x="282"/>
        <item x="284"/>
        <item x="373"/>
        <item x="158"/>
        <item x="450"/>
        <item x="91"/>
        <item x="197"/>
        <item x="306"/>
        <item x="56"/>
        <item x="180"/>
        <item x="362"/>
        <item x="462"/>
        <item x="142"/>
        <item x="24"/>
        <item x="96"/>
        <item x="79"/>
        <item x="172"/>
        <item x="307"/>
        <item x="124"/>
        <item x="387"/>
        <item x="404"/>
        <item x="195"/>
        <item x="491"/>
        <item x="495"/>
        <item x="216"/>
        <item x="5"/>
        <item x="273"/>
        <item x="116"/>
        <item x="159"/>
        <item x="30"/>
        <item x="248"/>
        <item x="443"/>
        <item x="44"/>
        <item x="121"/>
        <item x="213"/>
        <item x="343"/>
        <item x="412"/>
        <item x="53"/>
        <item x="103"/>
        <item x="290"/>
        <item x="235"/>
        <item x="280"/>
        <item x="34"/>
        <item x="112"/>
        <item x="130"/>
        <item x="141"/>
        <item x="396"/>
        <item x="144"/>
        <item x="262"/>
        <item x="435"/>
        <item x="15"/>
        <item x="49"/>
        <item x="196"/>
        <item x="55"/>
        <item x="160"/>
        <item x="161"/>
        <item x="374"/>
        <item x="409"/>
        <item x="475"/>
        <item x="58"/>
        <item x="312"/>
        <item x="36"/>
        <item x="119"/>
        <item x="187"/>
        <item x="322"/>
        <item x="107"/>
        <item x="227"/>
        <item x="403"/>
        <item x="418"/>
        <item x="429"/>
        <item x="83"/>
        <item x="163"/>
        <item x="157"/>
        <item x="70"/>
        <item x="394"/>
        <item x="485"/>
        <item x="17"/>
        <item x="169"/>
        <item x="367"/>
        <item x="448"/>
        <item x="118"/>
        <item x="166"/>
        <item x="212"/>
        <item x="445"/>
        <item x="171"/>
        <item x="224"/>
        <item x="388"/>
        <item x="90"/>
        <item x="237"/>
        <item x="447"/>
        <item x="277"/>
        <item x="16"/>
        <item x="453"/>
        <item x="41"/>
        <item x="45"/>
        <item x="165"/>
        <item x="299"/>
        <item x="476"/>
        <item x="201"/>
        <item x="384"/>
        <item x="487"/>
        <item x="489"/>
        <item x="314"/>
        <item x="62"/>
        <item x="66"/>
        <item x="150"/>
        <item x="297"/>
        <item x="381"/>
        <item x="67"/>
        <item x="167"/>
        <item x="315"/>
        <item x="38"/>
        <item x="71"/>
        <item x="369"/>
        <item x="136"/>
        <item x="164"/>
        <item x="242"/>
        <item x="218"/>
        <item x="365"/>
        <item x="405"/>
        <item x="269"/>
        <item x="379"/>
        <item x="425"/>
        <item x="378"/>
        <item x="386"/>
        <item x="279"/>
        <item x="143"/>
        <item x="377"/>
        <item x="29"/>
        <item x="93"/>
        <item x="257"/>
        <item x="389"/>
        <item x="145"/>
        <item x="146"/>
        <item x="358"/>
        <item x="330"/>
        <item x="494"/>
        <item x="208"/>
        <item x="335"/>
        <item x="407"/>
        <item x="416"/>
        <item x="439"/>
        <item x="243"/>
        <item x="311"/>
        <item x="351"/>
        <item x="202"/>
        <item x="292"/>
        <item x="345"/>
        <item x="364"/>
        <item x="77"/>
        <item x="92"/>
        <item x="108"/>
        <item x="191"/>
        <item x="200"/>
        <item x="482"/>
        <item x="64"/>
        <item x="206"/>
        <item x="332"/>
        <item x="437"/>
        <item x="241"/>
        <item x="326"/>
        <item x="344"/>
        <item x="402"/>
        <item x="331"/>
        <item x="380"/>
        <item x="390"/>
        <item x="111"/>
        <item x="263"/>
        <item x="352"/>
        <item x="465"/>
        <item x="9"/>
        <item x="128"/>
        <item x="175"/>
        <item x="122"/>
        <item x="302"/>
        <item x="81"/>
        <item x="217"/>
        <item x="78"/>
        <item x="492"/>
        <item x="12"/>
        <item x="109"/>
        <item x="173"/>
        <item x="341"/>
        <item x="433"/>
        <item x="456"/>
        <item x="120"/>
        <item x="417"/>
        <item x="133"/>
        <item x="13"/>
        <item x="287"/>
        <item x="291"/>
        <item x="391"/>
        <item x="20"/>
        <item x="54"/>
        <item x="308"/>
        <item x="329"/>
        <item x="472"/>
        <item x="72"/>
        <item x="222"/>
        <item x="468"/>
        <item x="86"/>
        <item x="333"/>
        <item x="382"/>
        <item x="451"/>
        <item x="2"/>
        <item x="32"/>
        <item x="296"/>
        <item x="151"/>
        <item x="250"/>
        <item x="313"/>
        <item x="452"/>
        <item x="42"/>
        <item x="48"/>
        <item x="75"/>
        <item x="271"/>
        <item x="359"/>
        <item x="408"/>
        <item x="441"/>
        <item x="110"/>
        <item x="353"/>
        <item x="52"/>
        <item x="215"/>
        <item x="293"/>
        <item x="181"/>
        <item x="304"/>
        <item x="281"/>
        <item x="0"/>
        <item x="59"/>
        <item x="259"/>
        <item x="316"/>
        <item x="33"/>
        <item x="426"/>
        <item x="154"/>
        <item x="179"/>
        <item x="203"/>
        <item x="228"/>
        <item x="393"/>
        <item x="7"/>
        <item x="104"/>
        <item x="249"/>
        <item x="1"/>
        <item x="189"/>
        <item x="419"/>
        <item x="97"/>
        <item x="102"/>
        <item x="278"/>
        <item x="370"/>
        <item x="371"/>
        <item x="436"/>
        <item x="27"/>
        <item x="99"/>
        <item x="395"/>
        <item x="424"/>
        <item x="117"/>
        <item x="176"/>
        <item x="205"/>
        <item x="254"/>
        <item x="303"/>
        <item x="319"/>
        <item x="459"/>
        <item x="80"/>
        <item x="477"/>
        <item x="478"/>
        <item x="127"/>
        <item x="61"/>
        <item x="63"/>
        <item x="413"/>
        <item x="479"/>
        <item x="115"/>
        <item x="186"/>
        <item x="256"/>
        <item x="411"/>
        <item x="89"/>
        <item x="105"/>
        <item x="193"/>
        <item x="493"/>
        <item x="247"/>
        <item x="406"/>
        <item x="25"/>
        <item x="350"/>
        <item x="232"/>
        <item x="321"/>
        <item x="354"/>
        <item x="65"/>
        <item x="149"/>
        <item x="101"/>
        <item x="126"/>
        <item x="357"/>
        <item x="401"/>
        <item x="31"/>
        <item x="318"/>
        <item x="481"/>
        <item x="270"/>
        <item x="338"/>
        <item x="153"/>
        <item x="230"/>
        <item x="239"/>
        <item x="264"/>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
    </i>
    <i>
      <x v="65"/>
    </i>
    <i>
      <x v="196"/>
    </i>
    <i>
      <x v="280"/>
    </i>
    <i>
      <x v="344"/>
    </i>
    <i>
      <x v="387"/>
    </i>
  </rowItems>
  <colItems count="1">
    <i/>
  </colItems>
  <dataFields count="1">
    <dataField name="Sum of Total Sales_x000a_(₹ Crore)" fld="10" baseField="0" baseItem="0"/>
  </dataFields>
  <chartFormats count="1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3" count="1" selected="0">
            <x v="344"/>
          </reference>
        </references>
      </pivotArea>
    </chartFormat>
    <chartFormat chart="12" format="7">
      <pivotArea type="data" outline="0" fieldPosition="0">
        <references count="2">
          <reference field="4294967294" count="1" selected="0">
            <x v="0"/>
          </reference>
          <reference field="3" count="1" selected="0">
            <x v="387"/>
          </reference>
        </references>
      </pivotArea>
    </chartFormat>
    <chartFormat chart="12" format="8">
      <pivotArea type="data" outline="0" fieldPosition="0">
        <references count="2">
          <reference field="4294967294" count="1" selected="0">
            <x v="0"/>
          </reference>
          <reference field="3" count="1" selected="0">
            <x v="280"/>
          </reference>
        </references>
      </pivotArea>
    </chartFormat>
    <chartFormat chart="12" format="9">
      <pivotArea type="data" outline="0" fieldPosition="0">
        <references count="2">
          <reference field="4294967294" count="1" selected="0">
            <x v="0"/>
          </reference>
          <reference field="3" count="1" selected="0">
            <x v="196"/>
          </reference>
        </references>
      </pivotArea>
    </chartFormat>
    <chartFormat chart="12" format="10">
      <pivotArea type="data" outline="0" fieldPosition="0">
        <references count="2">
          <reference field="4294967294" count="1" selected="0">
            <x v="0"/>
          </reference>
          <reference field="3" count="1" selected="0">
            <x v="65"/>
          </reference>
        </references>
      </pivotArea>
    </chartFormat>
    <chartFormat chart="12" format="1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9CE17F-3A61-4C2F-8C69-DEE29179F6CD}" name="PivotTable4" cacheId="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3:H8" firstHeaderRow="1" firstDataRow="1" firstDataCol="1"/>
  <pivotFields count="14">
    <pivotField showAll="0"/>
    <pivotField numFmtId="168" showAll="0">
      <items count="166">
        <item x="115"/>
        <item x="37"/>
        <item x="86"/>
        <item x="135"/>
        <item x="158"/>
        <item x="55"/>
        <item x="161"/>
        <item x="125"/>
        <item x="53"/>
        <item x="34"/>
        <item x="154"/>
        <item x="88"/>
        <item x="46"/>
        <item x="64"/>
        <item x="162"/>
        <item x="101"/>
        <item x="84"/>
        <item x="123"/>
        <item x="42"/>
        <item x="30"/>
        <item x="8"/>
        <item x="93"/>
        <item x="73"/>
        <item x="128"/>
        <item x="121"/>
        <item x="97"/>
        <item x="54"/>
        <item x="136"/>
        <item x="74"/>
        <item x="72"/>
        <item x="68"/>
        <item x="48"/>
        <item x="7"/>
        <item x="147"/>
        <item x="59"/>
        <item x="77"/>
        <item x="25"/>
        <item x="107"/>
        <item x="49"/>
        <item x="116"/>
        <item x="56"/>
        <item x="76"/>
        <item x="4"/>
        <item x="94"/>
        <item x="83"/>
        <item x="143"/>
        <item x="111"/>
        <item x="44"/>
        <item x="2"/>
        <item x="39"/>
        <item x="78"/>
        <item x="24"/>
        <item x="20"/>
        <item x="96"/>
        <item x="5"/>
        <item x="82"/>
        <item x="153"/>
        <item x="134"/>
        <item x="6"/>
        <item x="9"/>
        <item x="66"/>
        <item x="113"/>
        <item x="118"/>
        <item x="35"/>
        <item x="145"/>
        <item x="132"/>
        <item x="108"/>
        <item x="85"/>
        <item x="105"/>
        <item x="75"/>
        <item x="126"/>
        <item x="122"/>
        <item x="60"/>
        <item x="33"/>
        <item x="80"/>
        <item x="102"/>
        <item x="156"/>
        <item x="62"/>
        <item x="138"/>
        <item x="29"/>
        <item x="141"/>
        <item x="112"/>
        <item x="69"/>
        <item x="47"/>
        <item x="40"/>
        <item x="146"/>
        <item x="92"/>
        <item x="21"/>
        <item x="89"/>
        <item x="1"/>
        <item x="10"/>
        <item x="22"/>
        <item x="129"/>
        <item x="90"/>
        <item x="0"/>
        <item x="71"/>
        <item x="140"/>
        <item x="91"/>
        <item x="17"/>
        <item x="38"/>
        <item x="155"/>
        <item x="104"/>
        <item x="151"/>
        <item x="100"/>
        <item x="50"/>
        <item x="131"/>
        <item x="130"/>
        <item x="26"/>
        <item x="119"/>
        <item x="32"/>
        <item x="57"/>
        <item x="103"/>
        <item x="144"/>
        <item x="16"/>
        <item x="137"/>
        <item x="81"/>
        <item x="52"/>
        <item x="164"/>
        <item x="117"/>
        <item x="148"/>
        <item x="43"/>
        <item x="63"/>
        <item x="159"/>
        <item x="11"/>
        <item x="41"/>
        <item x="14"/>
        <item x="67"/>
        <item x="157"/>
        <item x="36"/>
        <item x="79"/>
        <item x="160"/>
        <item x="28"/>
        <item x="133"/>
        <item x="127"/>
        <item x="124"/>
        <item x="87"/>
        <item x="19"/>
        <item x="51"/>
        <item x="3"/>
        <item x="109"/>
        <item x="45"/>
        <item x="18"/>
        <item x="150"/>
        <item x="61"/>
        <item x="15"/>
        <item x="120"/>
        <item x="58"/>
        <item x="139"/>
        <item x="65"/>
        <item x="152"/>
        <item x="149"/>
        <item x="163"/>
        <item x="95"/>
        <item x="106"/>
        <item x="27"/>
        <item x="110"/>
        <item x="99"/>
        <item x="31"/>
        <item x="23"/>
        <item x="12"/>
        <item x="98"/>
        <item x="70"/>
        <item x="142"/>
        <item x="13"/>
        <item x="114"/>
        <item t="default"/>
      </items>
    </pivotField>
    <pivotField showAll="0"/>
    <pivotField showAll="0"/>
    <pivotField showAll="0"/>
    <pivotField showAll="0"/>
    <pivotField showAll="0"/>
    <pivotField axis="axisRow" showAll="0">
      <items count="6">
        <item x="3"/>
        <item x="0"/>
        <item x="4"/>
        <item x="1"/>
        <item x="2"/>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Items count="1">
    <i/>
  </colItems>
  <dataFields count="1">
    <dataField name="profit(₹ Crore)" fld="11" baseField="6"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7" count="1" selected="0">
            <x v="0"/>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2"/>
          </reference>
        </references>
      </pivotArea>
    </chartFormat>
    <chartFormat chart="4" format="16">
      <pivotArea type="data" outline="0" fieldPosition="0">
        <references count="2">
          <reference field="4294967294" count="1" selected="0">
            <x v="0"/>
          </reference>
          <reference field="7" count="1" selected="0">
            <x v="3"/>
          </reference>
        </references>
      </pivotArea>
    </chartFormat>
    <chartFormat chart="4"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9B98A11-3302-4379-AA34-EF259EA4E5B0}" sourceName="Months (date)">
  <pivotTables>
    <pivotTable tabId="6" name="PivotTable2"/>
  </pivotTables>
  <data>
    <tabular pivotCacheId="1501078806">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7192311A-1C90-4381-9B45-1C2DA5A4CC07}" cache="Slicer_Months__date" caption="Months (date)" columnCount="6" showCaption="0" style="SlicerStyleLight2" rowHeight="5760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2"/>
  <sheetViews>
    <sheetView showGridLines="0" zoomScaleNormal="100" workbookViewId="0">
      <pane ySplit="2" topLeftCell="A3" activePane="bottomLeft" state="frozen"/>
      <selection pane="bottomLeft" activeCell="B2" sqref="B2"/>
    </sheetView>
  </sheetViews>
  <sheetFormatPr defaultColWidth="8.6640625" defaultRowHeight="14.4" x14ac:dyDescent="0.3"/>
  <cols>
    <col min="1" max="1" width="6" customWidth="1"/>
    <col min="2" max="2" width="12.5546875" customWidth="1"/>
    <col min="3" max="3" width="13" customWidth="1"/>
    <col min="4" max="4" width="30" customWidth="1"/>
    <col min="5" max="5" width="12" customWidth="1"/>
    <col min="6" max="6" width="9" customWidth="1"/>
    <col min="7" max="7" width="13" customWidth="1"/>
    <col min="8" max="8" width="15" customWidth="1"/>
    <col min="9" max="10" width="13" customWidth="1"/>
    <col min="11" max="11" width="16" customWidth="1"/>
    <col min="12" max="12" width="14" customWidth="1"/>
  </cols>
  <sheetData>
    <row r="1" spans="1:12" ht="45" customHeight="1" x14ac:dyDescent="0.3">
      <c r="A1" s="1" t="s">
        <v>0</v>
      </c>
      <c r="B1" s="1" t="s">
        <v>545</v>
      </c>
      <c r="C1" s="1" t="s">
        <v>1</v>
      </c>
      <c r="D1" s="1" t="s">
        <v>2</v>
      </c>
      <c r="E1" s="1" t="s">
        <v>3</v>
      </c>
      <c r="F1" s="1" t="s">
        <v>4</v>
      </c>
      <c r="G1" s="1" t="s">
        <v>5</v>
      </c>
      <c r="H1" s="1" t="s">
        <v>6</v>
      </c>
      <c r="I1" s="1" t="s">
        <v>7</v>
      </c>
      <c r="J1" s="1" t="s">
        <v>8</v>
      </c>
      <c r="K1" s="1" t="s">
        <v>9</v>
      </c>
      <c r="L1" s="1" t="s">
        <v>10</v>
      </c>
    </row>
    <row r="2" spans="1:12" ht="15.6" customHeight="1" x14ac:dyDescent="0.3">
      <c r="A2" s="2">
        <v>1</v>
      </c>
      <c r="B2" s="38">
        <v>45761</v>
      </c>
      <c r="C2" s="3" t="s">
        <v>11</v>
      </c>
      <c r="D2" s="4" t="s">
        <v>12</v>
      </c>
      <c r="E2" s="2" t="s">
        <v>13</v>
      </c>
      <c r="F2" s="5">
        <v>4</v>
      </c>
      <c r="G2" s="6" t="s">
        <v>14</v>
      </c>
      <c r="H2" s="2" t="s">
        <v>15</v>
      </c>
      <c r="I2" s="2">
        <v>49.1</v>
      </c>
      <c r="J2" s="2">
        <v>15</v>
      </c>
      <c r="K2" s="2">
        <f t="shared" ref="K2:K65" si="0">ROUND(I2*J2/100,2)</f>
        <v>7.37</v>
      </c>
      <c r="L2" s="2">
        <f t="shared" ref="L2:L65" si="1">ROUND(K2*0.4,2)</f>
        <v>2.95</v>
      </c>
    </row>
    <row r="3" spans="1:12" x14ac:dyDescent="0.3">
      <c r="A3" s="7">
        <v>2</v>
      </c>
      <c r="B3" s="39">
        <v>45755</v>
      </c>
      <c r="C3" s="8" t="s">
        <v>16</v>
      </c>
      <c r="D3" s="9" t="s">
        <v>17</v>
      </c>
      <c r="E3" s="7" t="s">
        <v>13</v>
      </c>
      <c r="F3" s="10">
        <v>5</v>
      </c>
      <c r="G3" s="11" t="s">
        <v>18</v>
      </c>
      <c r="H3" s="7" t="s">
        <v>19</v>
      </c>
      <c r="I3" s="7">
        <v>80.400000000000006</v>
      </c>
      <c r="J3" s="7">
        <v>14</v>
      </c>
      <c r="K3" s="7">
        <f t="shared" si="0"/>
        <v>11.26</v>
      </c>
      <c r="L3" s="7">
        <f t="shared" si="1"/>
        <v>4.5</v>
      </c>
    </row>
    <row r="4" spans="1:12" x14ac:dyDescent="0.3">
      <c r="A4" s="2">
        <v>3</v>
      </c>
      <c r="B4" s="38">
        <v>45709</v>
      </c>
      <c r="C4" s="12" t="s">
        <v>20</v>
      </c>
      <c r="D4" s="4" t="s">
        <v>21</v>
      </c>
      <c r="E4" s="2" t="s">
        <v>22</v>
      </c>
      <c r="F4" s="13">
        <v>2</v>
      </c>
      <c r="G4" s="14" t="s">
        <v>23</v>
      </c>
      <c r="H4" s="2" t="s">
        <v>24</v>
      </c>
      <c r="I4" s="2">
        <v>3</v>
      </c>
      <c r="J4" s="2">
        <v>20</v>
      </c>
      <c r="K4" s="2">
        <f t="shared" si="0"/>
        <v>0.6</v>
      </c>
      <c r="L4" s="2">
        <f t="shared" si="1"/>
        <v>0.24</v>
      </c>
    </row>
    <row r="5" spans="1:12" x14ac:dyDescent="0.3">
      <c r="A5" s="7">
        <v>4</v>
      </c>
      <c r="B5" s="39">
        <v>45811</v>
      </c>
      <c r="C5" s="3" t="s">
        <v>11</v>
      </c>
      <c r="D5" s="9" t="s">
        <v>25</v>
      </c>
      <c r="E5" s="7" t="s">
        <v>26</v>
      </c>
      <c r="F5" s="10">
        <v>5</v>
      </c>
      <c r="G5" s="11" t="s">
        <v>18</v>
      </c>
      <c r="H5" s="7" t="s">
        <v>27</v>
      </c>
      <c r="I5" s="7">
        <v>78.2</v>
      </c>
      <c r="J5" s="7">
        <v>11</v>
      </c>
      <c r="K5" s="7">
        <f t="shared" si="0"/>
        <v>8.6</v>
      </c>
      <c r="L5" s="7">
        <f t="shared" si="1"/>
        <v>3.44</v>
      </c>
    </row>
    <row r="6" spans="1:12" x14ac:dyDescent="0.3">
      <c r="A6" s="2">
        <v>5</v>
      </c>
      <c r="B6" s="38">
        <v>45703</v>
      </c>
      <c r="C6" s="12" t="s">
        <v>20</v>
      </c>
      <c r="D6" s="4" t="s">
        <v>28</v>
      </c>
      <c r="E6" s="2" t="s">
        <v>29</v>
      </c>
      <c r="F6" s="5">
        <v>4</v>
      </c>
      <c r="G6" s="6" t="s">
        <v>14</v>
      </c>
      <c r="H6" s="2" t="s">
        <v>19</v>
      </c>
      <c r="I6" s="2">
        <v>48.8</v>
      </c>
      <c r="J6" s="2">
        <v>16</v>
      </c>
      <c r="K6" s="2">
        <f t="shared" si="0"/>
        <v>7.81</v>
      </c>
      <c r="L6" s="2">
        <f t="shared" si="1"/>
        <v>3.12</v>
      </c>
    </row>
    <row r="7" spans="1:12" x14ac:dyDescent="0.3">
      <c r="A7" s="7">
        <v>6</v>
      </c>
      <c r="B7" s="39">
        <v>45716</v>
      </c>
      <c r="C7" s="12" t="s">
        <v>20</v>
      </c>
      <c r="D7" s="9" t="s">
        <v>30</v>
      </c>
      <c r="E7" s="7" t="s">
        <v>22</v>
      </c>
      <c r="F7" s="10">
        <v>5</v>
      </c>
      <c r="G7" s="11" t="s">
        <v>18</v>
      </c>
      <c r="H7" s="7" t="s">
        <v>15</v>
      </c>
      <c r="I7" s="7">
        <v>82.3</v>
      </c>
      <c r="J7" s="7">
        <v>16</v>
      </c>
      <c r="K7" s="7">
        <f t="shared" si="0"/>
        <v>13.17</v>
      </c>
      <c r="L7" s="7">
        <f t="shared" si="1"/>
        <v>5.27</v>
      </c>
    </row>
    <row r="8" spans="1:12" x14ac:dyDescent="0.3">
      <c r="A8" s="2">
        <v>7</v>
      </c>
      <c r="B8" s="38">
        <v>45721</v>
      </c>
      <c r="C8" s="15" t="s">
        <v>31</v>
      </c>
      <c r="D8" s="4" t="s">
        <v>32</v>
      </c>
      <c r="E8" s="2" t="s">
        <v>33</v>
      </c>
      <c r="F8" s="16">
        <v>3</v>
      </c>
      <c r="G8" s="17" t="s">
        <v>34</v>
      </c>
      <c r="H8" s="2" t="s">
        <v>24</v>
      </c>
      <c r="I8" s="2">
        <v>19.5</v>
      </c>
      <c r="J8" s="2">
        <v>20</v>
      </c>
      <c r="K8" s="2">
        <f t="shared" si="0"/>
        <v>3.9</v>
      </c>
      <c r="L8" s="2">
        <f t="shared" si="1"/>
        <v>1.56</v>
      </c>
    </row>
    <row r="9" spans="1:12" x14ac:dyDescent="0.3">
      <c r="A9" s="7">
        <v>8</v>
      </c>
      <c r="B9" s="39">
        <v>45692</v>
      </c>
      <c r="C9" s="15" t="s">
        <v>31</v>
      </c>
      <c r="D9" s="9" t="s">
        <v>35</v>
      </c>
      <c r="E9" s="7" t="s">
        <v>36</v>
      </c>
      <c r="F9" s="5">
        <v>4</v>
      </c>
      <c r="G9" s="6" t="s">
        <v>14</v>
      </c>
      <c r="H9" s="7" t="s">
        <v>19</v>
      </c>
      <c r="I9" s="7">
        <v>32.200000000000003</v>
      </c>
      <c r="J9" s="7">
        <v>21</v>
      </c>
      <c r="K9" s="7">
        <f t="shared" si="0"/>
        <v>6.76</v>
      </c>
      <c r="L9" s="7">
        <f t="shared" si="1"/>
        <v>2.7</v>
      </c>
    </row>
    <row r="10" spans="1:12" x14ac:dyDescent="0.3">
      <c r="A10" s="2">
        <v>9</v>
      </c>
      <c r="B10" s="38">
        <v>45680</v>
      </c>
      <c r="C10" s="12" t="s">
        <v>20</v>
      </c>
      <c r="D10" s="4" t="s">
        <v>37</v>
      </c>
      <c r="E10" s="2" t="s">
        <v>29</v>
      </c>
      <c r="F10" s="5">
        <v>4</v>
      </c>
      <c r="G10" s="6" t="s">
        <v>14</v>
      </c>
      <c r="H10" s="2" t="s">
        <v>15</v>
      </c>
      <c r="I10" s="2">
        <v>38.6</v>
      </c>
      <c r="J10" s="2">
        <v>19</v>
      </c>
      <c r="K10" s="2">
        <f t="shared" si="0"/>
        <v>7.33</v>
      </c>
      <c r="L10" s="2">
        <f t="shared" si="1"/>
        <v>2.93</v>
      </c>
    </row>
    <row r="11" spans="1:12" x14ac:dyDescent="0.3">
      <c r="A11" s="7">
        <v>10</v>
      </c>
      <c r="B11" s="39">
        <v>45722</v>
      </c>
      <c r="C11" s="15" t="s">
        <v>31</v>
      </c>
      <c r="D11" s="9" t="s">
        <v>38</v>
      </c>
      <c r="E11" s="7" t="s">
        <v>13</v>
      </c>
      <c r="F11" s="5">
        <v>4</v>
      </c>
      <c r="G11" s="6" t="s">
        <v>14</v>
      </c>
      <c r="H11" s="7" t="s">
        <v>27</v>
      </c>
      <c r="I11" s="7">
        <v>46.4</v>
      </c>
      <c r="J11" s="7">
        <v>22</v>
      </c>
      <c r="K11" s="7">
        <f t="shared" si="0"/>
        <v>10.210000000000001</v>
      </c>
      <c r="L11" s="7">
        <f t="shared" si="1"/>
        <v>4.08</v>
      </c>
    </row>
    <row r="12" spans="1:12" x14ac:dyDescent="0.3">
      <c r="A12" s="2">
        <v>11</v>
      </c>
      <c r="B12" s="38">
        <v>45756</v>
      </c>
      <c r="C12" s="8" t="s">
        <v>16</v>
      </c>
      <c r="D12" s="4" t="s">
        <v>39</v>
      </c>
      <c r="E12" s="2" t="s">
        <v>22</v>
      </c>
      <c r="F12" s="10">
        <v>5</v>
      </c>
      <c r="G12" s="11" t="s">
        <v>18</v>
      </c>
      <c r="H12" s="2" t="s">
        <v>15</v>
      </c>
      <c r="I12" s="2">
        <v>49.8</v>
      </c>
      <c r="J12" s="2">
        <v>16</v>
      </c>
      <c r="K12" s="2">
        <f t="shared" si="0"/>
        <v>7.97</v>
      </c>
      <c r="L12" s="2">
        <f t="shared" si="1"/>
        <v>3.19</v>
      </c>
    </row>
    <row r="13" spans="1:12" x14ac:dyDescent="0.3">
      <c r="A13" s="7">
        <v>12</v>
      </c>
      <c r="B13" s="39">
        <v>45793</v>
      </c>
      <c r="C13" s="18" t="s">
        <v>40</v>
      </c>
      <c r="D13" s="9" t="s">
        <v>41</v>
      </c>
      <c r="E13" s="7" t="s">
        <v>13</v>
      </c>
      <c r="F13" s="5">
        <v>4</v>
      </c>
      <c r="G13" s="6" t="s">
        <v>14</v>
      </c>
      <c r="H13" s="7" t="s">
        <v>27</v>
      </c>
      <c r="I13" s="7">
        <v>25.9</v>
      </c>
      <c r="J13" s="7">
        <v>12</v>
      </c>
      <c r="K13" s="7">
        <f t="shared" si="0"/>
        <v>3.11</v>
      </c>
      <c r="L13" s="7">
        <f t="shared" si="1"/>
        <v>1.24</v>
      </c>
    </row>
    <row r="14" spans="1:12" x14ac:dyDescent="0.3">
      <c r="A14" s="2">
        <v>13</v>
      </c>
      <c r="B14" s="38">
        <v>45833</v>
      </c>
      <c r="C14" s="12" t="s">
        <v>20</v>
      </c>
      <c r="D14" s="4" t="s">
        <v>42</v>
      </c>
      <c r="E14" s="2" t="s">
        <v>36</v>
      </c>
      <c r="F14" s="5">
        <v>4</v>
      </c>
      <c r="G14" s="6" t="s">
        <v>14</v>
      </c>
      <c r="H14" s="2" t="s">
        <v>19</v>
      </c>
      <c r="I14" s="2">
        <v>38.200000000000003</v>
      </c>
      <c r="J14" s="2">
        <v>15</v>
      </c>
      <c r="K14" s="2">
        <f t="shared" si="0"/>
        <v>5.73</v>
      </c>
      <c r="L14" s="2">
        <f t="shared" si="1"/>
        <v>2.29</v>
      </c>
    </row>
    <row r="15" spans="1:12" x14ac:dyDescent="0.3">
      <c r="A15" s="7">
        <v>14</v>
      </c>
      <c r="B15" s="39">
        <v>45837</v>
      </c>
      <c r="C15" s="15" t="s">
        <v>31</v>
      </c>
      <c r="D15" s="9" t="s">
        <v>43</v>
      </c>
      <c r="E15" s="7" t="s">
        <v>44</v>
      </c>
      <c r="F15" s="5">
        <v>4</v>
      </c>
      <c r="G15" s="6" t="s">
        <v>14</v>
      </c>
      <c r="H15" s="7" t="s">
        <v>27</v>
      </c>
      <c r="I15" s="7">
        <v>25.9</v>
      </c>
      <c r="J15" s="7">
        <v>18</v>
      </c>
      <c r="K15" s="7">
        <f t="shared" si="0"/>
        <v>4.66</v>
      </c>
      <c r="L15" s="7">
        <f t="shared" si="1"/>
        <v>1.86</v>
      </c>
    </row>
    <row r="16" spans="1:12" x14ac:dyDescent="0.3">
      <c r="A16" s="2">
        <v>15</v>
      </c>
      <c r="B16" s="38">
        <v>45795</v>
      </c>
      <c r="C16" s="18" t="s">
        <v>40</v>
      </c>
      <c r="D16" s="4" t="s">
        <v>45</v>
      </c>
      <c r="E16" s="2" t="s">
        <v>33</v>
      </c>
      <c r="F16" s="10">
        <v>5</v>
      </c>
      <c r="G16" s="11" t="s">
        <v>18</v>
      </c>
      <c r="H16" s="2" t="s">
        <v>19</v>
      </c>
      <c r="I16" s="2">
        <v>121.7</v>
      </c>
      <c r="J16" s="2">
        <v>15</v>
      </c>
      <c r="K16" s="2">
        <f t="shared" si="0"/>
        <v>18.260000000000002</v>
      </c>
      <c r="L16" s="2">
        <f t="shared" si="1"/>
        <v>7.3</v>
      </c>
    </row>
    <row r="17" spans="1:12" x14ac:dyDescent="0.3">
      <c r="A17" s="7">
        <v>16</v>
      </c>
      <c r="B17" s="39">
        <v>45680</v>
      </c>
      <c r="C17" s="12" t="s">
        <v>20</v>
      </c>
      <c r="D17" s="9" t="s">
        <v>12</v>
      </c>
      <c r="E17" s="7" t="s">
        <v>46</v>
      </c>
      <c r="F17" s="5">
        <v>4</v>
      </c>
      <c r="G17" s="6" t="s">
        <v>14</v>
      </c>
      <c r="H17" s="7" t="s">
        <v>19</v>
      </c>
      <c r="I17" s="7">
        <v>42.3</v>
      </c>
      <c r="J17" s="7">
        <v>13</v>
      </c>
      <c r="K17" s="7">
        <f t="shared" si="0"/>
        <v>5.5</v>
      </c>
      <c r="L17" s="7">
        <f t="shared" si="1"/>
        <v>2.2000000000000002</v>
      </c>
    </row>
    <row r="18" spans="1:12" x14ac:dyDescent="0.3">
      <c r="A18" s="2">
        <v>17</v>
      </c>
      <c r="B18" s="38">
        <v>45817</v>
      </c>
      <c r="C18" s="8" t="s">
        <v>16</v>
      </c>
      <c r="D18" s="4" t="s">
        <v>47</v>
      </c>
      <c r="E18" s="2" t="s">
        <v>44</v>
      </c>
      <c r="F18" s="10">
        <v>5</v>
      </c>
      <c r="G18" s="11" t="s">
        <v>18</v>
      </c>
      <c r="H18" s="2" t="s">
        <v>48</v>
      </c>
      <c r="I18" s="2">
        <v>143.69999999999999</v>
      </c>
      <c r="J18" s="2">
        <v>14</v>
      </c>
      <c r="K18" s="2">
        <f t="shared" si="0"/>
        <v>20.12</v>
      </c>
      <c r="L18" s="2">
        <f t="shared" si="1"/>
        <v>8.0500000000000007</v>
      </c>
    </row>
    <row r="19" spans="1:12" x14ac:dyDescent="0.3">
      <c r="A19" s="7">
        <v>18</v>
      </c>
      <c r="B19" s="39">
        <v>45783</v>
      </c>
      <c r="C19" s="3" t="s">
        <v>11</v>
      </c>
      <c r="D19" s="9" t="s">
        <v>49</v>
      </c>
      <c r="E19" s="7" t="s">
        <v>29</v>
      </c>
      <c r="F19" s="5">
        <v>4</v>
      </c>
      <c r="G19" s="6" t="s">
        <v>14</v>
      </c>
      <c r="H19" s="7" t="s">
        <v>48</v>
      </c>
      <c r="I19" s="7">
        <v>37.1</v>
      </c>
      <c r="J19" s="7">
        <v>17</v>
      </c>
      <c r="K19" s="7">
        <f t="shared" si="0"/>
        <v>6.31</v>
      </c>
      <c r="L19" s="7">
        <f t="shared" si="1"/>
        <v>2.52</v>
      </c>
    </row>
    <row r="20" spans="1:12" x14ac:dyDescent="0.3">
      <c r="A20" s="2">
        <v>19</v>
      </c>
      <c r="B20" s="38">
        <v>45709</v>
      </c>
      <c r="C20" s="15" t="s">
        <v>31</v>
      </c>
      <c r="D20" s="4" t="s">
        <v>50</v>
      </c>
      <c r="E20" s="2" t="s">
        <v>46</v>
      </c>
      <c r="F20" s="5">
        <v>4</v>
      </c>
      <c r="G20" s="6" t="s">
        <v>14</v>
      </c>
      <c r="H20" s="2" t="s">
        <v>27</v>
      </c>
      <c r="I20" s="2">
        <v>53.6</v>
      </c>
      <c r="J20" s="2">
        <v>22</v>
      </c>
      <c r="K20" s="2">
        <f t="shared" si="0"/>
        <v>11.79</v>
      </c>
      <c r="L20" s="2">
        <f t="shared" si="1"/>
        <v>4.72</v>
      </c>
    </row>
    <row r="21" spans="1:12" x14ac:dyDescent="0.3">
      <c r="A21" s="7">
        <v>20</v>
      </c>
      <c r="B21" s="39">
        <v>45765</v>
      </c>
      <c r="C21" s="15" t="s">
        <v>31</v>
      </c>
      <c r="D21" s="9" t="s">
        <v>51</v>
      </c>
      <c r="E21" s="7" t="s">
        <v>46</v>
      </c>
      <c r="F21" s="5">
        <v>4</v>
      </c>
      <c r="G21" s="6" t="s">
        <v>14</v>
      </c>
      <c r="H21" s="7" t="s">
        <v>15</v>
      </c>
      <c r="I21" s="7">
        <v>37.6</v>
      </c>
      <c r="J21" s="7">
        <v>22</v>
      </c>
      <c r="K21" s="7">
        <f t="shared" si="0"/>
        <v>8.27</v>
      </c>
      <c r="L21" s="7">
        <f t="shared" si="1"/>
        <v>3.31</v>
      </c>
    </row>
    <row r="22" spans="1:12" x14ac:dyDescent="0.3">
      <c r="A22" s="2">
        <v>21</v>
      </c>
      <c r="B22" s="38">
        <v>45814</v>
      </c>
      <c r="C22" s="18" t="s">
        <v>40</v>
      </c>
      <c r="D22" s="4" t="s">
        <v>52</v>
      </c>
      <c r="E22" s="2" t="s">
        <v>22</v>
      </c>
      <c r="F22" s="5">
        <v>4</v>
      </c>
      <c r="G22" s="6" t="s">
        <v>14</v>
      </c>
      <c r="H22" s="2" t="s">
        <v>48</v>
      </c>
      <c r="I22" s="2">
        <v>23.2</v>
      </c>
      <c r="J22" s="2">
        <v>14</v>
      </c>
      <c r="K22" s="2">
        <f t="shared" si="0"/>
        <v>3.25</v>
      </c>
      <c r="L22" s="2">
        <f t="shared" si="1"/>
        <v>1.3</v>
      </c>
    </row>
    <row r="23" spans="1:12" x14ac:dyDescent="0.3">
      <c r="A23" s="7">
        <v>22</v>
      </c>
      <c r="B23" s="39">
        <v>45808</v>
      </c>
      <c r="C23" s="15" t="s">
        <v>31</v>
      </c>
      <c r="D23" s="9" t="s">
        <v>53</v>
      </c>
      <c r="E23" s="7" t="s">
        <v>44</v>
      </c>
      <c r="F23" s="10">
        <v>5</v>
      </c>
      <c r="G23" s="11" t="s">
        <v>18</v>
      </c>
      <c r="H23" s="7" t="s">
        <v>27</v>
      </c>
      <c r="I23" s="7">
        <v>46.7</v>
      </c>
      <c r="J23" s="7">
        <v>24</v>
      </c>
      <c r="K23" s="7">
        <f t="shared" si="0"/>
        <v>11.21</v>
      </c>
      <c r="L23" s="7">
        <f t="shared" si="1"/>
        <v>4.4800000000000004</v>
      </c>
    </row>
    <row r="24" spans="1:12" x14ac:dyDescent="0.3">
      <c r="A24" s="2">
        <v>23</v>
      </c>
      <c r="B24" s="38">
        <v>45713</v>
      </c>
      <c r="C24" s="15" t="s">
        <v>31</v>
      </c>
      <c r="D24" s="4" t="s">
        <v>54</v>
      </c>
      <c r="E24" s="2" t="s">
        <v>46</v>
      </c>
      <c r="F24" s="5">
        <v>4</v>
      </c>
      <c r="G24" s="6" t="s">
        <v>14</v>
      </c>
      <c r="H24" s="2" t="s">
        <v>27</v>
      </c>
      <c r="I24" s="2">
        <v>53.3</v>
      </c>
      <c r="J24" s="2">
        <v>24</v>
      </c>
      <c r="K24" s="2">
        <f t="shared" si="0"/>
        <v>12.79</v>
      </c>
      <c r="L24" s="2">
        <f t="shared" si="1"/>
        <v>5.12</v>
      </c>
    </row>
    <row r="25" spans="1:12" x14ac:dyDescent="0.3">
      <c r="A25" s="7">
        <v>24</v>
      </c>
      <c r="B25" s="39">
        <v>45753</v>
      </c>
      <c r="C25" s="8" t="s">
        <v>16</v>
      </c>
      <c r="D25" s="9" t="s">
        <v>55</v>
      </c>
      <c r="E25" s="7" t="s">
        <v>13</v>
      </c>
      <c r="F25" s="10">
        <v>5</v>
      </c>
      <c r="G25" s="11" t="s">
        <v>18</v>
      </c>
      <c r="H25" s="7" t="s">
        <v>19</v>
      </c>
      <c r="I25" s="7">
        <v>130</v>
      </c>
      <c r="J25" s="7">
        <v>16</v>
      </c>
      <c r="K25" s="7">
        <f t="shared" si="0"/>
        <v>20.8</v>
      </c>
      <c r="L25" s="7">
        <f t="shared" si="1"/>
        <v>8.32</v>
      </c>
    </row>
    <row r="26" spans="1:12" x14ac:dyDescent="0.3">
      <c r="A26" s="2">
        <v>25</v>
      </c>
      <c r="B26" s="38">
        <v>45757</v>
      </c>
      <c r="C26" s="12" t="s">
        <v>20</v>
      </c>
      <c r="D26" s="4" t="s">
        <v>56</v>
      </c>
      <c r="E26" s="2" t="s">
        <v>36</v>
      </c>
      <c r="F26" s="5">
        <v>4</v>
      </c>
      <c r="G26" s="6" t="s">
        <v>14</v>
      </c>
      <c r="H26" s="2" t="s">
        <v>15</v>
      </c>
      <c r="I26" s="2">
        <v>31.9</v>
      </c>
      <c r="J26" s="2">
        <v>18</v>
      </c>
      <c r="K26" s="2">
        <f t="shared" si="0"/>
        <v>5.74</v>
      </c>
      <c r="L26" s="2">
        <f t="shared" si="1"/>
        <v>2.2999999999999998</v>
      </c>
    </row>
    <row r="27" spans="1:12" x14ac:dyDescent="0.3">
      <c r="A27" s="7">
        <v>26</v>
      </c>
      <c r="B27" s="39">
        <v>45832</v>
      </c>
      <c r="C27" s="18" t="s">
        <v>40</v>
      </c>
      <c r="D27" s="9" t="s">
        <v>57</v>
      </c>
      <c r="E27" s="7" t="s">
        <v>33</v>
      </c>
      <c r="F27" s="5">
        <v>4</v>
      </c>
      <c r="G27" s="6" t="s">
        <v>14</v>
      </c>
      <c r="H27" s="7" t="s">
        <v>48</v>
      </c>
      <c r="I27" s="7">
        <v>52</v>
      </c>
      <c r="J27" s="7">
        <v>15</v>
      </c>
      <c r="K27" s="7">
        <f t="shared" si="0"/>
        <v>7.8</v>
      </c>
      <c r="L27" s="7">
        <f t="shared" si="1"/>
        <v>3.12</v>
      </c>
    </row>
    <row r="28" spans="1:12" x14ac:dyDescent="0.3">
      <c r="A28" s="2">
        <v>27</v>
      </c>
      <c r="B28" s="38">
        <v>45712</v>
      </c>
      <c r="C28" s="15" t="s">
        <v>31</v>
      </c>
      <c r="D28" s="4" t="s">
        <v>58</v>
      </c>
      <c r="E28" s="2" t="s">
        <v>13</v>
      </c>
      <c r="F28" s="16">
        <v>3</v>
      </c>
      <c r="G28" s="17" t="s">
        <v>34</v>
      </c>
      <c r="H28" s="2" t="s">
        <v>24</v>
      </c>
      <c r="I28" s="2">
        <v>8.5</v>
      </c>
      <c r="J28" s="2">
        <v>23</v>
      </c>
      <c r="K28" s="2">
        <f t="shared" si="0"/>
        <v>1.96</v>
      </c>
      <c r="L28" s="2">
        <f t="shared" si="1"/>
        <v>0.78</v>
      </c>
    </row>
    <row r="29" spans="1:12" x14ac:dyDescent="0.3">
      <c r="A29" s="7">
        <v>28</v>
      </c>
      <c r="B29" s="39">
        <v>45696</v>
      </c>
      <c r="C29" s="15" t="s">
        <v>31</v>
      </c>
      <c r="D29" s="9" t="s">
        <v>59</v>
      </c>
      <c r="E29" s="7" t="s">
        <v>44</v>
      </c>
      <c r="F29" s="10">
        <v>5</v>
      </c>
      <c r="G29" s="11" t="s">
        <v>18</v>
      </c>
      <c r="H29" s="7" t="s">
        <v>24</v>
      </c>
      <c r="I29" s="7">
        <v>136.6</v>
      </c>
      <c r="J29" s="7">
        <v>27</v>
      </c>
      <c r="K29" s="7">
        <f t="shared" si="0"/>
        <v>36.880000000000003</v>
      </c>
      <c r="L29" s="7">
        <f t="shared" si="1"/>
        <v>14.75</v>
      </c>
    </row>
    <row r="30" spans="1:12" x14ac:dyDescent="0.3">
      <c r="A30" s="2">
        <v>29</v>
      </c>
      <c r="B30" s="38">
        <v>45776</v>
      </c>
      <c r="C30" s="15" t="s">
        <v>31</v>
      </c>
      <c r="D30" s="4" t="s">
        <v>60</v>
      </c>
      <c r="E30" s="2" t="s">
        <v>26</v>
      </c>
      <c r="F30" s="10">
        <v>5</v>
      </c>
      <c r="G30" s="11" t="s">
        <v>18</v>
      </c>
      <c r="H30" s="2" t="s">
        <v>48</v>
      </c>
      <c r="I30" s="2">
        <v>99.3</v>
      </c>
      <c r="J30" s="2">
        <v>18</v>
      </c>
      <c r="K30" s="2">
        <f t="shared" si="0"/>
        <v>17.87</v>
      </c>
      <c r="L30" s="2">
        <f t="shared" si="1"/>
        <v>7.15</v>
      </c>
    </row>
    <row r="31" spans="1:12" x14ac:dyDescent="0.3">
      <c r="A31" s="7">
        <v>30</v>
      </c>
      <c r="B31" s="39">
        <v>45827</v>
      </c>
      <c r="C31" s="15" t="s">
        <v>31</v>
      </c>
      <c r="D31" s="9" t="s">
        <v>61</v>
      </c>
      <c r="E31" s="7" t="s">
        <v>44</v>
      </c>
      <c r="F31" s="16">
        <v>3</v>
      </c>
      <c r="G31" s="17" t="s">
        <v>34</v>
      </c>
      <c r="H31" s="7" t="s">
        <v>24</v>
      </c>
      <c r="I31" s="7">
        <v>11.1</v>
      </c>
      <c r="J31" s="7">
        <v>22</v>
      </c>
      <c r="K31" s="7">
        <f t="shared" si="0"/>
        <v>2.44</v>
      </c>
      <c r="L31" s="7">
        <f t="shared" si="1"/>
        <v>0.98</v>
      </c>
    </row>
    <row r="32" spans="1:12" x14ac:dyDescent="0.3">
      <c r="A32" s="2">
        <v>31</v>
      </c>
      <c r="B32" s="38">
        <v>45703</v>
      </c>
      <c r="C32" s="3" t="s">
        <v>11</v>
      </c>
      <c r="D32" s="4" t="s">
        <v>62</v>
      </c>
      <c r="E32" s="2" t="s">
        <v>44</v>
      </c>
      <c r="F32" s="16">
        <v>3</v>
      </c>
      <c r="G32" s="17" t="s">
        <v>34</v>
      </c>
      <c r="H32" s="2" t="s">
        <v>15</v>
      </c>
      <c r="I32" s="2">
        <v>13.7</v>
      </c>
      <c r="J32" s="2">
        <v>16</v>
      </c>
      <c r="K32" s="2">
        <f t="shared" si="0"/>
        <v>2.19</v>
      </c>
      <c r="L32" s="2">
        <f t="shared" si="1"/>
        <v>0.88</v>
      </c>
    </row>
    <row r="33" spans="1:12" x14ac:dyDescent="0.3">
      <c r="A33" s="7">
        <v>32</v>
      </c>
      <c r="B33" s="39">
        <v>45803</v>
      </c>
      <c r="C33" s="3" t="s">
        <v>11</v>
      </c>
      <c r="D33" s="9" t="s">
        <v>63</v>
      </c>
      <c r="E33" s="7" t="s">
        <v>29</v>
      </c>
      <c r="F33" s="16">
        <v>3</v>
      </c>
      <c r="G33" s="17" t="s">
        <v>34</v>
      </c>
      <c r="H33" s="7" t="s">
        <v>19</v>
      </c>
      <c r="I33" s="7">
        <v>16</v>
      </c>
      <c r="J33" s="7">
        <v>10</v>
      </c>
      <c r="K33" s="7">
        <f t="shared" si="0"/>
        <v>1.6</v>
      </c>
      <c r="L33" s="7">
        <f t="shared" si="1"/>
        <v>0.64</v>
      </c>
    </row>
    <row r="34" spans="1:12" x14ac:dyDescent="0.3">
      <c r="A34" s="2">
        <v>33</v>
      </c>
      <c r="B34" s="38">
        <v>45744</v>
      </c>
      <c r="C34" s="15" t="s">
        <v>31</v>
      </c>
      <c r="D34" s="4" t="s">
        <v>64</v>
      </c>
      <c r="E34" s="2" t="s">
        <v>13</v>
      </c>
      <c r="F34" s="10">
        <v>5</v>
      </c>
      <c r="G34" s="11" t="s">
        <v>18</v>
      </c>
      <c r="H34" s="2" t="s">
        <v>19</v>
      </c>
      <c r="I34" s="2">
        <v>119.2</v>
      </c>
      <c r="J34" s="2">
        <v>21</v>
      </c>
      <c r="K34" s="2">
        <f t="shared" si="0"/>
        <v>25.03</v>
      </c>
      <c r="L34" s="2">
        <f t="shared" si="1"/>
        <v>10.01</v>
      </c>
    </row>
    <row r="35" spans="1:12" x14ac:dyDescent="0.3">
      <c r="A35" s="7">
        <v>34</v>
      </c>
      <c r="B35" s="39">
        <v>45679</v>
      </c>
      <c r="C35" s="12" t="s">
        <v>20</v>
      </c>
      <c r="D35" s="9" t="s">
        <v>65</v>
      </c>
      <c r="E35" s="7" t="s">
        <v>13</v>
      </c>
      <c r="F35" s="5">
        <v>4</v>
      </c>
      <c r="G35" s="6" t="s">
        <v>14</v>
      </c>
      <c r="H35" s="7" t="s">
        <v>27</v>
      </c>
      <c r="I35" s="7">
        <v>25</v>
      </c>
      <c r="J35" s="7">
        <v>13</v>
      </c>
      <c r="K35" s="7">
        <f t="shared" si="0"/>
        <v>3.25</v>
      </c>
      <c r="L35" s="7">
        <f t="shared" si="1"/>
        <v>1.3</v>
      </c>
    </row>
    <row r="36" spans="1:12" x14ac:dyDescent="0.3">
      <c r="A36" s="2">
        <v>35</v>
      </c>
      <c r="B36" s="38">
        <v>45793</v>
      </c>
      <c r="C36" s="15" t="s">
        <v>31</v>
      </c>
      <c r="D36" s="4" t="s">
        <v>66</v>
      </c>
      <c r="E36" s="2" t="s">
        <v>13</v>
      </c>
      <c r="F36" s="5">
        <v>4</v>
      </c>
      <c r="G36" s="6" t="s">
        <v>14</v>
      </c>
      <c r="H36" s="2" t="s">
        <v>15</v>
      </c>
      <c r="I36" s="2">
        <v>50.7</v>
      </c>
      <c r="J36" s="2">
        <v>20</v>
      </c>
      <c r="K36" s="2">
        <f t="shared" si="0"/>
        <v>10.14</v>
      </c>
      <c r="L36" s="2">
        <f t="shared" si="1"/>
        <v>4.0599999999999996</v>
      </c>
    </row>
    <row r="37" spans="1:12" x14ac:dyDescent="0.3">
      <c r="A37" s="7">
        <v>36</v>
      </c>
      <c r="B37" s="39">
        <v>45831</v>
      </c>
      <c r="C37" s="12" t="s">
        <v>20</v>
      </c>
      <c r="D37" s="9" t="s">
        <v>67</v>
      </c>
      <c r="E37" s="7" t="s">
        <v>29</v>
      </c>
      <c r="F37" s="10">
        <v>5</v>
      </c>
      <c r="G37" s="11" t="s">
        <v>18</v>
      </c>
      <c r="H37" s="7" t="s">
        <v>19</v>
      </c>
      <c r="I37" s="7">
        <v>121.7</v>
      </c>
      <c r="J37" s="7">
        <v>14</v>
      </c>
      <c r="K37" s="7">
        <f t="shared" si="0"/>
        <v>17.04</v>
      </c>
      <c r="L37" s="7">
        <f t="shared" si="1"/>
        <v>6.82</v>
      </c>
    </row>
    <row r="38" spans="1:12" x14ac:dyDescent="0.3">
      <c r="A38" s="2">
        <v>37</v>
      </c>
      <c r="B38" s="38">
        <v>45680</v>
      </c>
      <c r="C38" s="18" t="s">
        <v>40</v>
      </c>
      <c r="D38" s="4" t="s">
        <v>68</v>
      </c>
      <c r="E38" s="2" t="s">
        <v>36</v>
      </c>
      <c r="F38" s="5">
        <v>4</v>
      </c>
      <c r="G38" s="6" t="s">
        <v>14</v>
      </c>
      <c r="H38" s="2" t="s">
        <v>15</v>
      </c>
      <c r="I38" s="2">
        <v>43</v>
      </c>
      <c r="J38" s="2">
        <v>18</v>
      </c>
      <c r="K38" s="2">
        <f t="shared" si="0"/>
        <v>7.74</v>
      </c>
      <c r="L38" s="2">
        <f t="shared" si="1"/>
        <v>3.1</v>
      </c>
    </row>
    <row r="39" spans="1:12" x14ac:dyDescent="0.3">
      <c r="A39" s="7">
        <v>38</v>
      </c>
      <c r="B39" s="39">
        <v>45778</v>
      </c>
      <c r="C39" s="12" t="s">
        <v>20</v>
      </c>
      <c r="D39" s="9" t="s">
        <v>69</v>
      </c>
      <c r="E39" s="7" t="s">
        <v>46</v>
      </c>
      <c r="F39" s="16">
        <v>3</v>
      </c>
      <c r="G39" s="17" t="s">
        <v>34</v>
      </c>
      <c r="H39" s="7" t="s">
        <v>48</v>
      </c>
      <c r="I39" s="7">
        <v>19.7</v>
      </c>
      <c r="J39" s="7">
        <v>15</v>
      </c>
      <c r="K39" s="7">
        <f t="shared" si="0"/>
        <v>2.96</v>
      </c>
      <c r="L39" s="7">
        <f t="shared" si="1"/>
        <v>1.18</v>
      </c>
    </row>
    <row r="40" spans="1:12" x14ac:dyDescent="0.3">
      <c r="A40" s="2">
        <v>39</v>
      </c>
      <c r="B40" s="38">
        <v>45738</v>
      </c>
      <c r="C40" s="15" t="s">
        <v>31</v>
      </c>
      <c r="D40" s="4" t="s">
        <v>70</v>
      </c>
      <c r="E40" s="2" t="s">
        <v>36</v>
      </c>
      <c r="F40" s="10">
        <v>5</v>
      </c>
      <c r="G40" s="11" t="s">
        <v>18</v>
      </c>
      <c r="H40" s="2" t="s">
        <v>48</v>
      </c>
      <c r="I40" s="2">
        <v>124.6</v>
      </c>
      <c r="J40" s="2">
        <v>27</v>
      </c>
      <c r="K40" s="2">
        <f t="shared" si="0"/>
        <v>33.64</v>
      </c>
      <c r="L40" s="2">
        <f t="shared" si="1"/>
        <v>13.46</v>
      </c>
    </row>
    <row r="41" spans="1:12" x14ac:dyDescent="0.3">
      <c r="A41" s="7">
        <v>40</v>
      </c>
      <c r="B41" s="39">
        <v>45761</v>
      </c>
      <c r="C41" s="3" t="s">
        <v>11</v>
      </c>
      <c r="D41" s="9" t="s">
        <v>71</v>
      </c>
      <c r="E41" s="7" t="s">
        <v>13</v>
      </c>
      <c r="F41" s="5">
        <v>4</v>
      </c>
      <c r="G41" s="6" t="s">
        <v>14</v>
      </c>
      <c r="H41" s="7" t="s">
        <v>24</v>
      </c>
      <c r="I41" s="7">
        <v>46.5</v>
      </c>
      <c r="J41" s="7">
        <v>11</v>
      </c>
      <c r="K41" s="7">
        <f t="shared" si="0"/>
        <v>5.12</v>
      </c>
      <c r="L41" s="7">
        <f t="shared" si="1"/>
        <v>2.0499999999999998</v>
      </c>
    </row>
    <row r="42" spans="1:12" x14ac:dyDescent="0.3">
      <c r="A42" s="2">
        <v>41</v>
      </c>
      <c r="B42" s="38">
        <v>45668</v>
      </c>
      <c r="C42" s="8" t="s">
        <v>16</v>
      </c>
      <c r="D42" s="4" t="s">
        <v>72</v>
      </c>
      <c r="E42" s="2" t="s">
        <v>22</v>
      </c>
      <c r="F42" s="5">
        <v>4</v>
      </c>
      <c r="G42" s="6" t="s">
        <v>14</v>
      </c>
      <c r="H42" s="2" t="s">
        <v>24</v>
      </c>
      <c r="I42" s="2">
        <v>52.9</v>
      </c>
      <c r="J42" s="2">
        <v>10</v>
      </c>
      <c r="K42" s="2">
        <f t="shared" si="0"/>
        <v>5.29</v>
      </c>
      <c r="L42" s="2">
        <f t="shared" si="1"/>
        <v>2.12</v>
      </c>
    </row>
    <row r="43" spans="1:12" x14ac:dyDescent="0.3">
      <c r="A43" s="7">
        <v>42</v>
      </c>
      <c r="B43" s="39">
        <v>45726</v>
      </c>
      <c r="C43" s="15" t="s">
        <v>31</v>
      </c>
      <c r="D43" s="9" t="s">
        <v>73</v>
      </c>
      <c r="E43" s="7" t="s">
        <v>22</v>
      </c>
      <c r="F43" s="10">
        <v>5</v>
      </c>
      <c r="G43" s="11" t="s">
        <v>18</v>
      </c>
      <c r="H43" s="7" t="s">
        <v>24</v>
      </c>
      <c r="I43" s="7">
        <v>114.3</v>
      </c>
      <c r="J43" s="7">
        <v>24</v>
      </c>
      <c r="K43" s="7">
        <f t="shared" si="0"/>
        <v>27.43</v>
      </c>
      <c r="L43" s="7">
        <f t="shared" si="1"/>
        <v>10.97</v>
      </c>
    </row>
    <row r="44" spans="1:12" x14ac:dyDescent="0.3">
      <c r="A44" s="2">
        <v>43</v>
      </c>
      <c r="B44" s="38">
        <v>45800</v>
      </c>
      <c r="C44" s="3" t="s">
        <v>11</v>
      </c>
      <c r="D44" s="4" t="s">
        <v>74</v>
      </c>
      <c r="E44" s="2" t="s">
        <v>26</v>
      </c>
      <c r="F44" s="5">
        <v>4</v>
      </c>
      <c r="G44" s="6" t="s">
        <v>14</v>
      </c>
      <c r="H44" s="2" t="s">
        <v>15</v>
      </c>
      <c r="I44" s="2">
        <v>44.6</v>
      </c>
      <c r="J44" s="2">
        <v>17</v>
      </c>
      <c r="K44" s="2">
        <f t="shared" si="0"/>
        <v>7.58</v>
      </c>
      <c r="L44" s="2">
        <f t="shared" si="1"/>
        <v>3.03</v>
      </c>
    </row>
    <row r="45" spans="1:12" x14ac:dyDescent="0.3">
      <c r="A45" s="7">
        <v>44</v>
      </c>
      <c r="B45" s="39">
        <v>45659</v>
      </c>
      <c r="C45" s="3" t="s">
        <v>11</v>
      </c>
      <c r="D45" s="9" t="s">
        <v>75</v>
      </c>
      <c r="E45" s="7" t="s">
        <v>29</v>
      </c>
      <c r="F45" s="10">
        <v>5</v>
      </c>
      <c r="G45" s="11" t="s">
        <v>18</v>
      </c>
      <c r="H45" s="7" t="s">
        <v>48</v>
      </c>
      <c r="I45" s="7">
        <v>68.2</v>
      </c>
      <c r="J45" s="7">
        <v>13</v>
      </c>
      <c r="K45" s="7">
        <f t="shared" si="0"/>
        <v>8.8699999999999992</v>
      </c>
      <c r="L45" s="7">
        <f t="shared" si="1"/>
        <v>3.55</v>
      </c>
    </row>
    <row r="46" spans="1:12" x14ac:dyDescent="0.3">
      <c r="A46" s="2">
        <v>45</v>
      </c>
      <c r="B46" s="38">
        <v>45766</v>
      </c>
      <c r="C46" s="8" t="s">
        <v>16</v>
      </c>
      <c r="D46" s="4" t="s">
        <v>76</v>
      </c>
      <c r="E46" s="2" t="s">
        <v>46</v>
      </c>
      <c r="F46" s="16">
        <v>3</v>
      </c>
      <c r="G46" s="17" t="s">
        <v>34</v>
      </c>
      <c r="H46" s="2" t="s">
        <v>24</v>
      </c>
      <c r="I46" s="2">
        <v>12.1</v>
      </c>
      <c r="J46" s="2">
        <v>13</v>
      </c>
      <c r="K46" s="2">
        <f t="shared" si="0"/>
        <v>1.57</v>
      </c>
      <c r="L46" s="2">
        <f t="shared" si="1"/>
        <v>0.63</v>
      </c>
    </row>
    <row r="47" spans="1:12" x14ac:dyDescent="0.3">
      <c r="A47" s="7">
        <v>46</v>
      </c>
      <c r="B47" s="39">
        <v>45710</v>
      </c>
      <c r="C47" s="3" t="s">
        <v>11</v>
      </c>
      <c r="D47" s="9" t="s">
        <v>77</v>
      </c>
      <c r="E47" s="7" t="s">
        <v>46</v>
      </c>
      <c r="F47" s="10">
        <v>5</v>
      </c>
      <c r="G47" s="11" t="s">
        <v>18</v>
      </c>
      <c r="H47" s="7" t="s">
        <v>15</v>
      </c>
      <c r="I47" s="7">
        <v>43</v>
      </c>
      <c r="J47" s="7">
        <v>15</v>
      </c>
      <c r="K47" s="7">
        <f t="shared" si="0"/>
        <v>6.45</v>
      </c>
      <c r="L47" s="7">
        <f t="shared" si="1"/>
        <v>2.58</v>
      </c>
    </row>
    <row r="48" spans="1:12" x14ac:dyDescent="0.3">
      <c r="A48" s="2">
        <v>47</v>
      </c>
      <c r="B48" s="38">
        <v>45750</v>
      </c>
      <c r="C48" s="3" t="s">
        <v>11</v>
      </c>
      <c r="D48" s="4" t="s">
        <v>78</v>
      </c>
      <c r="E48" s="2" t="s">
        <v>29</v>
      </c>
      <c r="F48" s="16">
        <v>3</v>
      </c>
      <c r="G48" s="17" t="s">
        <v>34</v>
      </c>
      <c r="H48" s="2" t="s">
        <v>15</v>
      </c>
      <c r="I48" s="2">
        <v>13.8</v>
      </c>
      <c r="J48" s="2">
        <v>14</v>
      </c>
      <c r="K48" s="2">
        <f t="shared" si="0"/>
        <v>1.93</v>
      </c>
      <c r="L48" s="2">
        <f t="shared" si="1"/>
        <v>0.77</v>
      </c>
    </row>
    <row r="49" spans="1:12" x14ac:dyDescent="0.3">
      <c r="A49" s="7">
        <v>48</v>
      </c>
      <c r="B49" s="39">
        <v>45794</v>
      </c>
      <c r="C49" s="15" t="s">
        <v>31</v>
      </c>
      <c r="D49" s="9" t="s">
        <v>79</v>
      </c>
      <c r="E49" s="7" t="s">
        <v>26</v>
      </c>
      <c r="F49" s="5">
        <v>4</v>
      </c>
      <c r="G49" s="6" t="s">
        <v>14</v>
      </c>
      <c r="H49" s="7" t="s">
        <v>27</v>
      </c>
      <c r="I49" s="7">
        <v>23.4</v>
      </c>
      <c r="J49" s="7">
        <v>24</v>
      </c>
      <c r="K49" s="7">
        <f t="shared" si="0"/>
        <v>5.62</v>
      </c>
      <c r="L49" s="7">
        <f t="shared" si="1"/>
        <v>2.25</v>
      </c>
    </row>
    <row r="50" spans="1:12" x14ac:dyDescent="0.3">
      <c r="A50" s="2">
        <v>49</v>
      </c>
      <c r="B50" s="38">
        <v>45678</v>
      </c>
      <c r="C50" s="3" t="s">
        <v>11</v>
      </c>
      <c r="D50" s="4" t="s">
        <v>80</v>
      </c>
      <c r="E50" s="2" t="s">
        <v>46</v>
      </c>
      <c r="F50" s="10">
        <v>5</v>
      </c>
      <c r="G50" s="11" t="s">
        <v>18</v>
      </c>
      <c r="H50" s="2" t="s">
        <v>24</v>
      </c>
      <c r="I50" s="2">
        <v>107.8</v>
      </c>
      <c r="J50" s="2">
        <v>17</v>
      </c>
      <c r="K50" s="2">
        <f t="shared" si="0"/>
        <v>18.329999999999998</v>
      </c>
      <c r="L50" s="2">
        <f t="shared" si="1"/>
        <v>7.33</v>
      </c>
    </row>
    <row r="51" spans="1:12" x14ac:dyDescent="0.3">
      <c r="A51" s="7">
        <v>50</v>
      </c>
      <c r="B51" s="39">
        <v>45776</v>
      </c>
      <c r="C51" s="3" t="s">
        <v>11</v>
      </c>
      <c r="D51" s="9" t="s">
        <v>81</v>
      </c>
      <c r="E51" s="7" t="s">
        <v>13</v>
      </c>
      <c r="F51" s="16">
        <v>3</v>
      </c>
      <c r="G51" s="17" t="s">
        <v>34</v>
      </c>
      <c r="H51" s="7" t="s">
        <v>27</v>
      </c>
      <c r="I51" s="7">
        <v>14.9</v>
      </c>
      <c r="J51" s="7">
        <v>13</v>
      </c>
      <c r="K51" s="7">
        <f t="shared" si="0"/>
        <v>1.94</v>
      </c>
      <c r="L51" s="7">
        <f t="shared" si="1"/>
        <v>0.78</v>
      </c>
    </row>
    <row r="52" spans="1:12" x14ac:dyDescent="0.3">
      <c r="A52" s="2">
        <v>51</v>
      </c>
      <c r="B52" s="38">
        <v>45790</v>
      </c>
      <c r="C52" s="12" t="s">
        <v>20</v>
      </c>
      <c r="D52" s="4" t="s">
        <v>82</v>
      </c>
      <c r="E52" s="2" t="s">
        <v>46</v>
      </c>
      <c r="F52" s="5">
        <v>4</v>
      </c>
      <c r="G52" s="6" t="s">
        <v>14</v>
      </c>
      <c r="H52" s="2" t="s">
        <v>24</v>
      </c>
      <c r="I52" s="2">
        <v>42.1</v>
      </c>
      <c r="J52" s="2">
        <v>17</v>
      </c>
      <c r="K52" s="2">
        <f t="shared" si="0"/>
        <v>7.16</v>
      </c>
      <c r="L52" s="2">
        <f t="shared" si="1"/>
        <v>2.86</v>
      </c>
    </row>
    <row r="53" spans="1:12" x14ac:dyDescent="0.3">
      <c r="A53" s="7">
        <v>52</v>
      </c>
      <c r="B53" s="39">
        <v>45708</v>
      </c>
      <c r="C53" s="12" t="s">
        <v>20</v>
      </c>
      <c r="D53" s="9" t="s">
        <v>83</v>
      </c>
      <c r="E53" s="7" t="s">
        <v>46</v>
      </c>
      <c r="F53" s="5">
        <v>4</v>
      </c>
      <c r="G53" s="6" t="s">
        <v>14</v>
      </c>
      <c r="H53" s="7" t="s">
        <v>15</v>
      </c>
      <c r="I53" s="7">
        <v>48.1</v>
      </c>
      <c r="J53" s="7">
        <v>16</v>
      </c>
      <c r="K53" s="7">
        <f t="shared" si="0"/>
        <v>7.7</v>
      </c>
      <c r="L53" s="7">
        <f t="shared" si="1"/>
        <v>3.08</v>
      </c>
    </row>
    <row r="54" spans="1:12" x14ac:dyDescent="0.3">
      <c r="A54" s="2">
        <v>53</v>
      </c>
      <c r="B54" s="38">
        <v>45813</v>
      </c>
      <c r="C54" s="18" t="s">
        <v>40</v>
      </c>
      <c r="D54" s="4" t="s">
        <v>84</v>
      </c>
      <c r="E54" s="2" t="s">
        <v>22</v>
      </c>
      <c r="F54" s="16">
        <v>3</v>
      </c>
      <c r="G54" s="17" t="s">
        <v>34</v>
      </c>
      <c r="H54" s="2" t="s">
        <v>27</v>
      </c>
      <c r="I54" s="2">
        <v>13.4</v>
      </c>
      <c r="J54" s="2">
        <v>20</v>
      </c>
      <c r="K54" s="2">
        <f t="shared" si="0"/>
        <v>2.68</v>
      </c>
      <c r="L54" s="2">
        <f t="shared" si="1"/>
        <v>1.07</v>
      </c>
    </row>
    <row r="55" spans="1:12" x14ac:dyDescent="0.3">
      <c r="A55" s="7">
        <v>54</v>
      </c>
      <c r="B55" s="39">
        <v>45776</v>
      </c>
      <c r="C55" s="15" t="s">
        <v>31</v>
      </c>
      <c r="D55" s="9" t="s">
        <v>85</v>
      </c>
      <c r="E55" s="7" t="s">
        <v>33</v>
      </c>
      <c r="F55" s="16">
        <v>3</v>
      </c>
      <c r="G55" s="17" t="s">
        <v>34</v>
      </c>
      <c r="H55" s="7" t="s">
        <v>24</v>
      </c>
      <c r="I55" s="7">
        <v>12.7</v>
      </c>
      <c r="J55" s="7">
        <v>27</v>
      </c>
      <c r="K55" s="7">
        <f t="shared" si="0"/>
        <v>3.43</v>
      </c>
      <c r="L55" s="7">
        <f t="shared" si="1"/>
        <v>1.37</v>
      </c>
    </row>
    <row r="56" spans="1:12" x14ac:dyDescent="0.3">
      <c r="A56" s="2">
        <v>55</v>
      </c>
      <c r="B56" s="38">
        <v>45671</v>
      </c>
      <c r="C56" s="12" t="s">
        <v>20</v>
      </c>
      <c r="D56" s="4" t="s">
        <v>86</v>
      </c>
      <c r="E56" s="2" t="s">
        <v>29</v>
      </c>
      <c r="F56" s="5">
        <v>4</v>
      </c>
      <c r="G56" s="6" t="s">
        <v>14</v>
      </c>
      <c r="H56" s="2" t="s">
        <v>19</v>
      </c>
      <c r="I56" s="2">
        <v>53.3</v>
      </c>
      <c r="J56" s="2">
        <v>16</v>
      </c>
      <c r="K56" s="2">
        <f t="shared" si="0"/>
        <v>8.5299999999999994</v>
      </c>
      <c r="L56" s="2">
        <f t="shared" si="1"/>
        <v>3.41</v>
      </c>
    </row>
    <row r="57" spans="1:12" x14ac:dyDescent="0.3">
      <c r="A57" s="7">
        <v>56</v>
      </c>
      <c r="B57" s="39">
        <v>45749</v>
      </c>
      <c r="C57" s="15" t="s">
        <v>31</v>
      </c>
      <c r="D57" s="9" t="s">
        <v>87</v>
      </c>
      <c r="E57" s="7" t="s">
        <v>22</v>
      </c>
      <c r="F57" s="16">
        <v>3</v>
      </c>
      <c r="G57" s="17" t="s">
        <v>34</v>
      </c>
      <c r="H57" s="7" t="s">
        <v>19</v>
      </c>
      <c r="I57" s="7">
        <v>20</v>
      </c>
      <c r="J57" s="7">
        <v>20</v>
      </c>
      <c r="K57" s="7">
        <f t="shared" si="0"/>
        <v>4</v>
      </c>
      <c r="L57" s="7">
        <f t="shared" si="1"/>
        <v>1.6</v>
      </c>
    </row>
    <row r="58" spans="1:12" x14ac:dyDescent="0.3">
      <c r="A58" s="2">
        <v>57</v>
      </c>
      <c r="B58" s="38">
        <v>45691</v>
      </c>
      <c r="C58" s="15" t="s">
        <v>31</v>
      </c>
      <c r="D58" s="4" t="s">
        <v>88</v>
      </c>
      <c r="E58" s="2" t="s">
        <v>26</v>
      </c>
      <c r="F58" s="10">
        <v>5</v>
      </c>
      <c r="G58" s="11" t="s">
        <v>18</v>
      </c>
      <c r="H58" s="2" t="s">
        <v>48</v>
      </c>
      <c r="I58" s="2">
        <v>70.7</v>
      </c>
      <c r="J58" s="2">
        <v>20</v>
      </c>
      <c r="K58" s="2">
        <f t="shared" si="0"/>
        <v>14.14</v>
      </c>
      <c r="L58" s="2">
        <f t="shared" si="1"/>
        <v>5.66</v>
      </c>
    </row>
    <row r="59" spans="1:12" x14ac:dyDescent="0.3">
      <c r="A59" s="7">
        <v>58</v>
      </c>
      <c r="B59" s="39">
        <v>45713</v>
      </c>
      <c r="C59" s="3" t="s">
        <v>11</v>
      </c>
      <c r="D59" s="9" t="s">
        <v>89</v>
      </c>
      <c r="E59" s="7" t="s">
        <v>29</v>
      </c>
      <c r="F59" s="16">
        <v>3</v>
      </c>
      <c r="G59" s="17" t="s">
        <v>34</v>
      </c>
      <c r="H59" s="7" t="s">
        <v>19</v>
      </c>
      <c r="I59" s="7">
        <v>17.8</v>
      </c>
      <c r="J59" s="7">
        <v>17</v>
      </c>
      <c r="K59" s="7">
        <f t="shared" si="0"/>
        <v>3.03</v>
      </c>
      <c r="L59" s="7">
        <f t="shared" si="1"/>
        <v>1.21</v>
      </c>
    </row>
    <row r="60" spans="1:12" x14ac:dyDescent="0.3">
      <c r="A60" s="2">
        <v>59</v>
      </c>
      <c r="B60" s="38">
        <v>45699</v>
      </c>
      <c r="C60" s="3" t="s">
        <v>11</v>
      </c>
      <c r="D60" s="4" t="s">
        <v>90</v>
      </c>
      <c r="E60" s="2" t="s">
        <v>29</v>
      </c>
      <c r="F60" s="5">
        <v>4</v>
      </c>
      <c r="G60" s="6" t="s">
        <v>14</v>
      </c>
      <c r="H60" s="2" t="s">
        <v>19</v>
      </c>
      <c r="I60" s="2">
        <v>30.1</v>
      </c>
      <c r="J60" s="2">
        <v>17</v>
      </c>
      <c r="K60" s="2">
        <f t="shared" si="0"/>
        <v>5.12</v>
      </c>
      <c r="L60" s="2">
        <f t="shared" si="1"/>
        <v>2.0499999999999998</v>
      </c>
    </row>
    <row r="61" spans="1:12" x14ac:dyDescent="0.3">
      <c r="A61" s="7">
        <v>60</v>
      </c>
      <c r="B61" s="39">
        <v>45771</v>
      </c>
      <c r="C61" s="8" t="s">
        <v>16</v>
      </c>
      <c r="D61" s="9" t="s">
        <v>91</v>
      </c>
      <c r="E61" s="7" t="s">
        <v>46</v>
      </c>
      <c r="F61" s="5">
        <v>4</v>
      </c>
      <c r="G61" s="6" t="s">
        <v>14</v>
      </c>
      <c r="H61" s="7" t="s">
        <v>19</v>
      </c>
      <c r="I61" s="7">
        <v>43.1</v>
      </c>
      <c r="J61" s="7">
        <v>15</v>
      </c>
      <c r="K61" s="7">
        <f t="shared" si="0"/>
        <v>6.47</v>
      </c>
      <c r="L61" s="7">
        <f t="shared" si="1"/>
        <v>2.59</v>
      </c>
    </row>
    <row r="62" spans="1:12" x14ac:dyDescent="0.3">
      <c r="A62" s="2">
        <v>61</v>
      </c>
      <c r="B62" s="38">
        <v>45810</v>
      </c>
      <c r="C62" s="3" t="s">
        <v>11</v>
      </c>
      <c r="D62" s="4" t="s">
        <v>92</v>
      </c>
      <c r="E62" s="2" t="s">
        <v>36</v>
      </c>
      <c r="F62" s="16">
        <v>3</v>
      </c>
      <c r="G62" s="17" t="s">
        <v>34</v>
      </c>
      <c r="H62" s="2" t="s">
        <v>48</v>
      </c>
      <c r="I62" s="2">
        <v>24.1</v>
      </c>
      <c r="J62" s="2">
        <v>11</v>
      </c>
      <c r="K62" s="2">
        <f t="shared" si="0"/>
        <v>2.65</v>
      </c>
      <c r="L62" s="2">
        <f t="shared" si="1"/>
        <v>1.06</v>
      </c>
    </row>
    <row r="63" spans="1:12" x14ac:dyDescent="0.3">
      <c r="A63" s="7">
        <v>62</v>
      </c>
      <c r="B63" s="39">
        <v>45703</v>
      </c>
      <c r="C63" s="8" t="s">
        <v>16</v>
      </c>
      <c r="D63" s="9" t="s">
        <v>93</v>
      </c>
      <c r="E63" s="7" t="s">
        <v>46</v>
      </c>
      <c r="F63" s="5">
        <v>4</v>
      </c>
      <c r="G63" s="6" t="s">
        <v>14</v>
      </c>
      <c r="H63" s="7" t="s">
        <v>24</v>
      </c>
      <c r="I63" s="7">
        <v>44.3</v>
      </c>
      <c r="J63" s="7">
        <v>16</v>
      </c>
      <c r="K63" s="7">
        <f t="shared" si="0"/>
        <v>7.09</v>
      </c>
      <c r="L63" s="7">
        <f t="shared" si="1"/>
        <v>2.84</v>
      </c>
    </row>
    <row r="64" spans="1:12" x14ac:dyDescent="0.3">
      <c r="A64" s="2">
        <v>63</v>
      </c>
      <c r="B64" s="38">
        <v>45786</v>
      </c>
      <c r="C64" s="12" t="s">
        <v>20</v>
      </c>
      <c r="D64" s="4" t="s">
        <v>94</v>
      </c>
      <c r="E64" s="2" t="s">
        <v>44</v>
      </c>
      <c r="F64" s="10">
        <v>5</v>
      </c>
      <c r="G64" s="11" t="s">
        <v>18</v>
      </c>
      <c r="H64" s="2" t="s">
        <v>24</v>
      </c>
      <c r="I64" s="2">
        <v>87.3</v>
      </c>
      <c r="J64" s="2">
        <v>19</v>
      </c>
      <c r="K64" s="2">
        <f t="shared" si="0"/>
        <v>16.59</v>
      </c>
      <c r="L64" s="2">
        <f t="shared" si="1"/>
        <v>6.64</v>
      </c>
    </row>
    <row r="65" spans="1:12" x14ac:dyDescent="0.3">
      <c r="A65" s="7">
        <v>64</v>
      </c>
      <c r="B65" s="39">
        <v>45827</v>
      </c>
      <c r="C65" s="3" t="s">
        <v>11</v>
      </c>
      <c r="D65" s="9" t="s">
        <v>95</v>
      </c>
      <c r="E65" s="7" t="s">
        <v>46</v>
      </c>
      <c r="F65" s="10">
        <v>5</v>
      </c>
      <c r="G65" s="11" t="s">
        <v>18</v>
      </c>
      <c r="H65" s="7" t="s">
        <v>15</v>
      </c>
      <c r="I65" s="7">
        <v>99.7</v>
      </c>
      <c r="J65" s="7">
        <v>10</v>
      </c>
      <c r="K65" s="7">
        <f t="shared" si="0"/>
        <v>9.9700000000000006</v>
      </c>
      <c r="L65" s="7">
        <f t="shared" si="1"/>
        <v>3.99</v>
      </c>
    </row>
    <row r="66" spans="1:12" x14ac:dyDescent="0.3">
      <c r="A66" s="2">
        <v>65</v>
      </c>
      <c r="B66" s="38">
        <v>45703</v>
      </c>
      <c r="C66" s="12" t="s">
        <v>20</v>
      </c>
      <c r="D66" s="4" t="s">
        <v>96</v>
      </c>
      <c r="E66" s="2" t="s">
        <v>46</v>
      </c>
      <c r="F66" s="16">
        <v>3</v>
      </c>
      <c r="G66" s="17" t="s">
        <v>34</v>
      </c>
      <c r="H66" s="2" t="s">
        <v>27</v>
      </c>
      <c r="I66" s="2">
        <v>18.600000000000001</v>
      </c>
      <c r="J66" s="2">
        <v>16</v>
      </c>
      <c r="K66" s="2">
        <f t="shared" ref="K66:K129" si="2">ROUND(I66*J66/100,2)</f>
        <v>2.98</v>
      </c>
      <c r="L66" s="2">
        <f t="shared" ref="L66:L129" si="3">ROUND(K66*0.4,2)</f>
        <v>1.19</v>
      </c>
    </row>
    <row r="67" spans="1:12" x14ac:dyDescent="0.3">
      <c r="A67" s="7">
        <v>66</v>
      </c>
      <c r="B67" s="39">
        <v>45667</v>
      </c>
      <c r="C67" s="12" t="s">
        <v>20</v>
      </c>
      <c r="D67" s="9" t="s">
        <v>97</v>
      </c>
      <c r="E67" s="7" t="s">
        <v>44</v>
      </c>
      <c r="F67" s="16">
        <v>3</v>
      </c>
      <c r="G67" s="17" t="s">
        <v>34</v>
      </c>
      <c r="H67" s="7" t="s">
        <v>48</v>
      </c>
      <c r="I67" s="7">
        <v>9.3000000000000007</v>
      </c>
      <c r="J67" s="7">
        <v>12</v>
      </c>
      <c r="K67" s="7">
        <f t="shared" si="2"/>
        <v>1.1200000000000001</v>
      </c>
      <c r="L67" s="7">
        <f t="shared" si="3"/>
        <v>0.45</v>
      </c>
    </row>
    <row r="68" spans="1:12" x14ac:dyDescent="0.3">
      <c r="A68" s="2">
        <v>67</v>
      </c>
      <c r="B68" s="38">
        <v>45686</v>
      </c>
      <c r="C68" s="15" t="s">
        <v>31</v>
      </c>
      <c r="D68" s="4" t="s">
        <v>98</v>
      </c>
      <c r="E68" s="2" t="s">
        <v>46</v>
      </c>
      <c r="F68" s="10">
        <v>5</v>
      </c>
      <c r="G68" s="11" t="s">
        <v>18</v>
      </c>
      <c r="H68" s="2" t="s">
        <v>24</v>
      </c>
      <c r="I68" s="2">
        <v>70.599999999999994</v>
      </c>
      <c r="J68" s="2">
        <v>21</v>
      </c>
      <c r="K68" s="2">
        <f t="shared" si="2"/>
        <v>14.83</v>
      </c>
      <c r="L68" s="2">
        <f t="shared" si="3"/>
        <v>5.93</v>
      </c>
    </row>
    <row r="69" spans="1:12" x14ac:dyDescent="0.3">
      <c r="A69" s="7">
        <v>68</v>
      </c>
      <c r="B69" s="39">
        <v>45663</v>
      </c>
      <c r="C69" s="3" t="s">
        <v>11</v>
      </c>
      <c r="D69" s="9" t="s">
        <v>99</v>
      </c>
      <c r="E69" s="7" t="s">
        <v>26</v>
      </c>
      <c r="F69" s="5">
        <v>4</v>
      </c>
      <c r="G69" s="6" t="s">
        <v>14</v>
      </c>
      <c r="H69" s="7" t="s">
        <v>24</v>
      </c>
      <c r="I69" s="7">
        <v>22.8</v>
      </c>
      <c r="J69" s="7">
        <v>13</v>
      </c>
      <c r="K69" s="7">
        <f t="shared" si="2"/>
        <v>2.96</v>
      </c>
      <c r="L69" s="7">
        <f t="shared" si="3"/>
        <v>1.18</v>
      </c>
    </row>
    <row r="70" spans="1:12" x14ac:dyDescent="0.3">
      <c r="A70" s="2">
        <v>69</v>
      </c>
      <c r="B70" s="38">
        <v>45701</v>
      </c>
      <c r="C70" s="8" t="s">
        <v>16</v>
      </c>
      <c r="D70" s="4" t="s">
        <v>100</v>
      </c>
      <c r="E70" s="2" t="s">
        <v>33</v>
      </c>
      <c r="F70" s="10">
        <v>5</v>
      </c>
      <c r="G70" s="11" t="s">
        <v>18</v>
      </c>
      <c r="H70" s="2" t="s">
        <v>48</v>
      </c>
      <c r="I70" s="2">
        <v>109.4</v>
      </c>
      <c r="J70" s="2">
        <v>11</v>
      </c>
      <c r="K70" s="2">
        <f t="shared" si="2"/>
        <v>12.03</v>
      </c>
      <c r="L70" s="2">
        <f t="shared" si="3"/>
        <v>4.8099999999999996</v>
      </c>
    </row>
    <row r="71" spans="1:12" x14ac:dyDescent="0.3">
      <c r="A71" s="7">
        <v>70</v>
      </c>
      <c r="B71" s="39">
        <v>45779</v>
      </c>
      <c r="C71" s="18" t="s">
        <v>40</v>
      </c>
      <c r="D71" s="9" t="s">
        <v>101</v>
      </c>
      <c r="E71" s="7" t="s">
        <v>36</v>
      </c>
      <c r="F71" s="5">
        <v>4</v>
      </c>
      <c r="G71" s="6" t="s">
        <v>14</v>
      </c>
      <c r="H71" s="7" t="s">
        <v>27</v>
      </c>
      <c r="I71" s="7">
        <v>56.3</v>
      </c>
      <c r="J71" s="7">
        <v>14</v>
      </c>
      <c r="K71" s="7">
        <f t="shared" si="2"/>
        <v>7.88</v>
      </c>
      <c r="L71" s="7">
        <f t="shared" si="3"/>
        <v>3.15</v>
      </c>
    </row>
    <row r="72" spans="1:12" x14ac:dyDescent="0.3">
      <c r="A72" s="2">
        <v>71</v>
      </c>
      <c r="B72" s="38">
        <v>45833</v>
      </c>
      <c r="C72" s="12" t="s">
        <v>20</v>
      </c>
      <c r="D72" s="4" t="s">
        <v>102</v>
      </c>
      <c r="E72" s="2" t="s">
        <v>13</v>
      </c>
      <c r="F72" s="16">
        <v>3</v>
      </c>
      <c r="G72" s="17" t="s">
        <v>34</v>
      </c>
      <c r="H72" s="2" t="s">
        <v>15</v>
      </c>
      <c r="I72" s="2">
        <v>18.100000000000001</v>
      </c>
      <c r="J72" s="2">
        <v>16</v>
      </c>
      <c r="K72" s="2">
        <f t="shared" si="2"/>
        <v>2.9</v>
      </c>
      <c r="L72" s="2">
        <f t="shared" si="3"/>
        <v>1.1599999999999999</v>
      </c>
    </row>
    <row r="73" spans="1:12" x14ac:dyDescent="0.3">
      <c r="A73" s="7">
        <v>72</v>
      </c>
      <c r="B73" s="39">
        <v>45765</v>
      </c>
      <c r="C73" s="18" t="s">
        <v>40</v>
      </c>
      <c r="D73" s="9" t="s">
        <v>103</v>
      </c>
      <c r="E73" s="7" t="s">
        <v>36</v>
      </c>
      <c r="F73" s="5">
        <v>4</v>
      </c>
      <c r="G73" s="6" t="s">
        <v>14</v>
      </c>
      <c r="H73" s="7" t="s">
        <v>15</v>
      </c>
      <c r="I73" s="7">
        <v>48</v>
      </c>
      <c r="J73" s="7">
        <v>16</v>
      </c>
      <c r="K73" s="7">
        <f t="shared" si="2"/>
        <v>7.68</v>
      </c>
      <c r="L73" s="7">
        <f t="shared" si="3"/>
        <v>3.07</v>
      </c>
    </row>
    <row r="74" spans="1:12" x14ac:dyDescent="0.3">
      <c r="A74" s="2">
        <v>73</v>
      </c>
      <c r="B74" s="38">
        <v>45678</v>
      </c>
      <c r="C74" s="15" t="s">
        <v>31</v>
      </c>
      <c r="D74" s="4" t="s">
        <v>104</v>
      </c>
      <c r="E74" s="2" t="s">
        <v>46</v>
      </c>
      <c r="F74" s="5">
        <v>4</v>
      </c>
      <c r="G74" s="6" t="s">
        <v>14</v>
      </c>
      <c r="H74" s="2" t="s">
        <v>48</v>
      </c>
      <c r="I74" s="2">
        <v>21.6</v>
      </c>
      <c r="J74" s="2">
        <v>24</v>
      </c>
      <c r="K74" s="2">
        <f t="shared" si="2"/>
        <v>5.18</v>
      </c>
      <c r="L74" s="2">
        <f t="shared" si="3"/>
        <v>2.0699999999999998</v>
      </c>
    </row>
    <row r="75" spans="1:12" x14ac:dyDescent="0.3">
      <c r="A75" s="7">
        <v>74</v>
      </c>
      <c r="B75" s="39">
        <v>45766</v>
      </c>
      <c r="C75" s="8" t="s">
        <v>16</v>
      </c>
      <c r="D75" s="9" t="s">
        <v>105</v>
      </c>
      <c r="E75" s="7" t="s">
        <v>33</v>
      </c>
      <c r="F75" s="5">
        <v>4</v>
      </c>
      <c r="G75" s="6" t="s">
        <v>14</v>
      </c>
      <c r="H75" s="7" t="s">
        <v>19</v>
      </c>
      <c r="I75" s="7">
        <v>23.7</v>
      </c>
      <c r="J75" s="7">
        <v>15</v>
      </c>
      <c r="K75" s="7">
        <f t="shared" si="2"/>
        <v>3.56</v>
      </c>
      <c r="L75" s="7">
        <f t="shared" si="3"/>
        <v>1.42</v>
      </c>
    </row>
    <row r="76" spans="1:12" x14ac:dyDescent="0.3">
      <c r="A76" s="2">
        <v>75</v>
      </c>
      <c r="B76" s="38">
        <v>45819</v>
      </c>
      <c r="C76" s="8" t="s">
        <v>16</v>
      </c>
      <c r="D76" s="4" t="s">
        <v>106</v>
      </c>
      <c r="E76" s="2" t="s">
        <v>13</v>
      </c>
      <c r="F76" s="5">
        <v>4</v>
      </c>
      <c r="G76" s="6" t="s">
        <v>14</v>
      </c>
      <c r="H76" s="2" t="s">
        <v>19</v>
      </c>
      <c r="I76" s="2">
        <v>60</v>
      </c>
      <c r="J76" s="2">
        <v>15</v>
      </c>
      <c r="K76" s="2">
        <f t="shared" si="2"/>
        <v>9</v>
      </c>
      <c r="L76" s="2">
        <f t="shared" si="3"/>
        <v>3.6</v>
      </c>
    </row>
    <row r="77" spans="1:12" x14ac:dyDescent="0.3">
      <c r="A77" s="7">
        <v>76</v>
      </c>
      <c r="B77" s="39">
        <v>45680</v>
      </c>
      <c r="C77" s="8" t="s">
        <v>16</v>
      </c>
      <c r="D77" s="9" t="s">
        <v>107</v>
      </c>
      <c r="E77" s="7" t="s">
        <v>33</v>
      </c>
      <c r="F77" s="5">
        <v>4</v>
      </c>
      <c r="G77" s="6" t="s">
        <v>14</v>
      </c>
      <c r="H77" s="7" t="s">
        <v>27</v>
      </c>
      <c r="I77" s="7">
        <v>38.799999999999997</v>
      </c>
      <c r="J77" s="7">
        <v>15</v>
      </c>
      <c r="K77" s="7">
        <f t="shared" si="2"/>
        <v>5.82</v>
      </c>
      <c r="L77" s="7">
        <f t="shared" si="3"/>
        <v>2.33</v>
      </c>
    </row>
    <row r="78" spans="1:12" x14ac:dyDescent="0.3">
      <c r="A78" s="2">
        <v>77</v>
      </c>
      <c r="B78" s="38">
        <v>45694</v>
      </c>
      <c r="C78" s="3" t="s">
        <v>11</v>
      </c>
      <c r="D78" s="4" t="s">
        <v>108</v>
      </c>
      <c r="E78" s="2" t="s">
        <v>44</v>
      </c>
      <c r="F78" s="16">
        <v>3</v>
      </c>
      <c r="G78" s="17" t="s">
        <v>34</v>
      </c>
      <c r="H78" s="2" t="s">
        <v>48</v>
      </c>
      <c r="I78" s="2">
        <v>15.4</v>
      </c>
      <c r="J78" s="2">
        <v>17</v>
      </c>
      <c r="K78" s="2">
        <f t="shared" si="2"/>
        <v>2.62</v>
      </c>
      <c r="L78" s="2">
        <f t="shared" si="3"/>
        <v>1.05</v>
      </c>
    </row>
    <row r="79" spans="1:12" x14ac:dyDescent="0.3">
      <c r="A79" s="7">
        <v>78</v>
      </c>
      <c r="B79" s="39">
        <v>45737</v>
      </c>
      <c r="C79" s="15" t="s">
        <v>31</v>
      </c>
      <c r="D79" s="9" t="s">
        <v>109</v>
      </c>
      <c r="E79" s="7" t="s">
        <v>46</v>
      </c>
      <c r="F79" s="5">
        <v>4</v>
      </c>
      <c r="G79" s="6" t="s">
        <v>14</v>
      </c>
      <c r="H79" s="7" t="s">
        <v>15</v>
      </c>
      <c r="I79" s="7">
        <v>32.799999999999997</v>
      </c>
      <c r="J79" s="7">
        <v>19</v>
      </c>
      <c r="K79" s="7">
        <f t="shared" si="2"/>
        <v>6.23</v>
      </c>
      <c r="L79" s="7">
        <f t="shared" si="3"/>
        <v>2.4900000000000002</v>
      </c>
    </row>
    <row r="80" spans="1:12" x14ac:dyDescent="0.3">
      <c r="A80" s="2">
        <v>79</v>
      </c>
      <c r="B80" s="38">
        <v>45816</v>
      </c>
      <c r="C80" s="15" t="s">
        <v>31</v>
      </c>
      <c r="D80" s="4" t="s">
        <v>110</v>
      </c>
      <c r="E80" s="2" t="s">
        <v>33</v>
      </c>
      <c r="F80" s="5">
        <v>4</v>
      </c>
      <c r="G80" s="6" t="s">
        <v>14</v>
      </c>
      <c r="H80" s="2" t="s">
        <v>24</v>
      </c>
      <c r="I80" s="2">
        <v>31.5</v>
      </c>
      <c r="J80" s="2">
        <v>24</v>
      </c>
      <c r="K80" s="2">
        <f t="shared" si="2"/>
        <v>7.56</v>
      </c>
      <c r="L80" s="2">
        <f t="shared" si="3"/>
        <v>3.02</v>
      </c>
    </row>
    <row r="81" spans="1:12" x14ac:dyDescent="0.3">
      <c r="A81" s="7">
        <v>80</v>
      </c>
      <c r="B81" s="39">
        <v>45659</v>
      </c>
      <c r="C81" s="3" t="s">
        <v>11</v>
      </c>
      <c r="D81" s="9" t="s">
        <v>111</v>
      </c>
      <c r="E81" s="7" t="s">
        <v>46</v>
      </c>
      <c r="F81" s="13">
        <v>2</v>
      </c>
      <c r="G81" s="14" t="s">
        <v>23</v>
      </c>
      <c r="H81" s="7" t="s">
        <v>19</v>
      </c>
      <c r="I81" s="7">
        <v>5.2</v>
      </c>
      <c r="J81" s="7">
        <v>15</v>
      </c>
      <c r="K81" s="7">
        <f t="shared" si="2"/>
        <v>0.78</v>
      </c>
      <c r="L81" s="7">
        <f t="shared" si="3"/>
        <v>0.31</v>
      </c>
    </row>
    <row r="82" spans="1:12" x14ac:dyDescent="0.3">
      <c r="A82" s="2">
        <v>81</v>
      </c>
      <c r="B82" s="38">
        <v>45755</v>
      </c>
      <c r="C82" s="12" t="s">
        <v>20</v>
      </c>
      <c r="D82" s="4" t="s">
        <v>112</v>
      </c>
      <c r="E82" s="2" t="s">
        <v>36</v>
      </c>
      <c r="F82" s="10">
        <v>5</v>
      </c>
      <c r="G82" s="11" t="s">
        <v>18</v>
      </c>
      <c r="H82" s="2" t="s">
        <v>19</v>
      </c>
      <c r="I82" s="2">
        <v>109.1</v>
      </c>
      <c r="J82" s="2">
        <v>20</v>
      </c>
      <c r="K82" s="2">
        <f t="shared" si="2"/>
        <v>21.82</v>
      </c>
      <c r="L82" s="2">
        <f t="shared" si="3"/>
        <v>8.73</v>
      </c>
    </row>
    <row r="83" spans="1:12" x14ac:dyDescent="0.3">
      <c r="A83" s="7">
        <v>82</v>
      </c>
      <c r="B83" s="39">
        <v>45742</v>
      </c>
      <c r="C83" s="12" t="s">
        <v>20</v>
      </c>
      <c r="D83" s="9" t="s">
        <v>113</v>
      </c>
      <c r="E83" s="7" t="s">
        <v>36</v>
      </c>
      <c r="F83" s="13">
        <v>2</v>
      </c>
      <c r="G83" s="14" t="s">
        <v>23</v>
      </c>
      <c r="H83" s="7" t="s">
        <v>48</v>
      </c>
      <c r="I83" s="7">
        <v>5.5</v>
      </c>
      <c r="J83" s="7">
        <v>19</v>
      </c>
      <c r="K83" s="7">
        <f t="shared" si="2"/>
        <v>1.05</v>
      </c>
      <c r="L83" s="7">
        <f t="shared" si="3"/>
        <v>0.42</v>
      </c>
    </row>
    <row r="84" spans="1:12" x14ac:dyDescent="0.3">
      <c r="A84" s="2">
        <v>83</v>
      </c>
      <c r="B84" s="38">
        <v>45692</v>
      </c>
      <c r="C84" s="18" t="s">
        <v>40</v>
      </c>
      <c r="D84" s="4" t="s">
        <v>114</v>
      </c>
      <c r="E84" s="2" t="s">
        <v>46</v>
      </c>
      <c r="F84" s="10">
        <v>5</v>
      </c>
      <c r="G84" s="11" t="s">
        <v>18</v>
      </c>
      <c r="H84" s="2" t="s">
        <v>27</v>
      </c>
      <c r="I84" s="2">
        <v>68</v>
      </c>
      <c r="J84" s="2">
        <v>14</v>
      </c>
      <c r="K84" s="2">
        <f t="shared" si="2"/>
        <v>9.52</v>
      </c>
      <c r="L84" s="2">
        <f t="shared" si="3"/>
        <v>3.81</v>
      </c>
    </row>
    <row r="85" spans="1:12" x14ac:dyDescent="0.3">
      <c r="A85" s="7">
        <v>84</v>
      </c>
      <c r="B85" s="39">
        <v>45791</v>
      </c>
      <c r="C85" s="15" t="s">
        <v>31</v>
      </c>
      <c r="D85" s="9" t="s">
        <v>115</v>
      </c>
      <c r="E85" s="7" t="s">
        <v>46</v>
      </c>
      <c r="F85" s="10">
        <v>5</v>
      </c>
      <c r="G85" s="11" t="s">
        <v>18</v>
      </c>
      <c r="H85" s="7" t="s">
        <v>24</v>
      </c>
      <c r="I85" s="7">
        <v>52.7</v>
      </c>
      <c r="J85" s="7">
        <v>28</v>
      </c>
      <c r="K85" s="7">
        <f t="shared" si="2"/>
        <v>14.76</v>
      </c>
      <c r="L85" s="7">
        <f t="shared" si="3"/>
        <v>5.9</v>
      </c>
    </row>
    <row r="86" spans="1:12" x14ac:dyDescent="0.3">
      <c r="A86" s="2">
        <v>85</v>
      </c>
      <c r="B86" s="38">
        <v>45761</v>
      </c>
      <c r="C86" s="8" t="s">
        <v>16</v>
      </c>
      <c r="D86" s="4" t="s">
        <v>116</v>
      </c>
      <c r="E86" s="2" t="s">
        <v>44</v>
      </c>
      <c r="F86" s="10">
        <v>5</v>
      </c>
      <c r="G86" s="11" t="s">
        <v>18</v>
      </c>
      <c r="H86" s="2" t="s">
        <v>15</v>
      </c>
      <c r="I86" s="2">
        <v>97.8</v>
      </c>
      <c r="J86" s="2">
        <v>14</v>
      </c>
      <c r="K86" s="2">
        <f t="shared" si="2"/>
        <v>13.69</v>
      </c>
      <c r="L86" s="2">
        <f t="shared" si="3"/>
        <v>5.48</v>
      </c>
    </row>
    <row r="87" spans="1:12" x14ac:dyDescent="0.3">
      <c r="A87" s="7">
        <v>86</v>
      </c>
      <c r="B87" s="39">
        <v>45709</v>
      </c>
      <c r="C87" s="18" t="s">
        <v>40</v>
      </c>
      <c r="D87" s="9" t="s">
        <v>117</v>
      </c>
      <c r="E87" s="7" t="s">
        <v>36</v>
      </c>
      <c r="F87" s="16">
        <v>3</v>
      </c>
      <c r="G87" s="17" t="s">
        <v>34</v>
      </c>
      <c r="H87" s="7" t="s">
        <v>19</v>
      </c>
      <c r="I87" s="7">
        <v>15.8</v>
      </c>
      <c r="J87" s="7">
        <v>13</v>
      </c>
      <c r="K87" s="7">
        <f t="shared" si="2"/>
        <v>2.0499999999999998</v>
      </c>
      <c r="L87" s="7">
        <f t="shared" si="3"/>
        <v>0.82</v>
      </c>
    </row>
    <row r="88" spans="1:12" x14ac:dyDescent="0.3">
      <c r="A88" s="2">
        <v>87</v>
      </c>
      <c r="B88" s="38">
        <v>45672</v>
      </c>
      <c r="C88" s="8" t="s">
        <v>16</v>
      </c>
      <c r="D88" s="4" t="s">
        <v>118</v>
      </c>
      <c r="E88" s="2" t="s">
        <v>44</v>
      </c>
      <c r="F88" s="5">
        <v>4</v>
      </c>
      <c r="G88" s="6" t="s">
        <v>14</v>
      </c>
      <c r="H88" s="2" t="s">
        <v>15</v>
      </c>
      <c r="I88" s="2">
        <v>40.4</v>
      </c>
      <c r="J88" s="2">
        <v>12</v>
      </c>
      <c r="K88" s="2">
        <f t="shared" si="2"/>
        <v>4.8499999999999996</v>
      </c>
      <c r="L88" s="2">
        <f t="shared" si="3"/>
        <v>1.94</v>
      </c>
    </row>
    <row r="89" spans="1:12" x14ac:dyDescent="0.3">
      <c r="A89" s="7">
        <v>88</v>
      </c>
      <c r="B89" s="39">
        <v>45821</v>
      </c>
      <c r="C89" s="12" t="s">
        <v>20</v>
      </c>
      <c r="D89" s="9" t="s">
        <v>119</v>
      </c>
      <c r="E89" s="7" t="s">
        <v>36</v>
      </c>
      <c r="F89" s="10">
        <v>5</v>
      </c>
      <c r="G89" s="11" t="s">
        <v>18</v>
      </c>
      <c r="H89" s="7" t="s">
        <v>27</v>
      </c>
      <c r="I89" s="7">
        <v>88</v>
      </c>
      <c r="J89" s="7">
        <v>14</v>
      </c>
      <c r="K89" s="7">
        <f t="shared" si="2"/>
        <v>12.32</v>
      </c>
      <c r="L89" s="7">
        <f t="shared" si="3"/>
        <v>4.93</v>
      </c>
    </row>
    <row r="90" spans="1:12" x14ac:dyDescent="0.3">
      <c r="A90" s="2">
        <v>89</v>
      </c>
      <c r="B90" s="38">
        <v>45712</v>
      </c>
      <c r="C90" s="18" t="s">
        <v>40</v>
      </c>
      <c r="D90" s="4" t="s">
        <v>120</v>
      </c>
      <c r="E90" s="2" t="s">
        <v>44</v>
      </c>
      <c r="F90" s="10">
        <v>5</v>
      </c>
      <c r="G90" s="11" t="s">
        <v>18</v>
      </c>
      <c r="H90" s="2" t="s">
        <v>48</v>
      </c>
      <c r="I90" s="2">
        <v>118.4</v>
      </c>
      <c r="J90" s="2">
        <v>14</v>
      </c>
      <c r="K90" s="2">
        <f t="shared" si="2"/>
        <v>16.579999999999998</v>
      </c>
      <c r="L90" s="2">
        <f t="shared" si="3"/>
        <v>6.63</v>
      </c>
    </row>
    <row r="91" spans="1:12" x14ac:dyDescent="0.3">
      <c r="A91" s="7">
        <v>90</v>
      </c>
      <c r="B91" s="39">
        <v>45771</v>
      </c>
      <c r="C91" s="12" t="s">
        <v>20</v>
      </c>
      <c r="D91" s="9" t="s">
        <v>121</v>
      </c>
      <c r="E91" s="7" t="s">
        <v>22</v>
      </c>
      <c r="F91" s="10">
        <v>5</v>
      </c>
      <c r="G91" s="11" t="s">
        <v>18</v>
      </c>
      <c r="H91" s="7" t="s">
        <v>24</v>
      </c>
      <c r="I91" s="7">
        <v>75.7</v>
      </c>
      <c r="J91" s="7">
        <v>20</v>
      </c>
      <c r="K91" s="7">
        <f t="shared" si="2"/>
        <v>15.14</v>
      </c>
      <c r="L91" s="7">
        <f t="shared" si="3"/>
        <v>6.06</v>
      </c>
    </row>
    <row r="92" spans="1:12" x14ac:dyDescent="0.3">
      <c r="A92" s="2">
        <v>91</v>
      </c>
      <c r="B92" s="38">
        <v>45723</v>
      </c>
      <c r="C92" s="12" t="s">
        <v>20</v>
      </c>
      <c r="D92" s="4" t="s">
        <v>122</v>
      </c>
      <c r="E92" s="2" t="s">
        <v>13</v>
      </c>
      <c r="F92" s="5">
        <v>4</v>
      </c>
      <c r="G92" s="6" t="s">
        <v>14</v>
      </c>
      <c r="H92" s="2" t="s">
        <v>15</v>
      </c>
      <c r="I92" s="2">
        <v>53.5</v>
      </c>
      <c r="J92" s="2">
        <v>19</v>
      </c>
      <c r="K92" s="2">
        <f t="shared" si="2"/>
        <v>10.17</v>
      </c>
      <c r="L92" s="2">
        <f t="shared" si="3"/>
        <v>4.07</v>
      </c>
    </row>
    <row r="93" spans="1:12" x14ac:dyDescent="0.3">
      <c r="A93" s="7">
        <v>92</v>
      </c>
      <c r="B93" s="39">
        <v>45797</v>
      </c>
      <c r="C93" s="3" t="s">
        <v>11</v>
      </c>
      <c r="D93" s="9" t="s">
        <v>123</v>
      </c>
      <c r="E93" s="7" t="s">
        <v>36</v>
      </c>
      <c r="F93" s="5">
        <v>4</v>
      </c>
      <c r="G93" s="6" t="s">
        <v>14</v>
      </c>
      <c r="H93" s="7" t="s">
        <v>24</v>
      </c>
      <c r="I93" s="7">
        <v>33.799999999999997</v>
      </c>
      <c r="J93" s="7">
        <v>16</v>
      </c>
      <c r="K93" s="7">
        <f t="shared" si="2"/>
        <v>5.41</v>
      </c>
      <c r="L93" s="7">
        <f t="shared" si="3"/>
        <v>2.16</v>
      </c>
    </row>
    <row r="94" spans="1:12" x14ac:dyDescent="0.3">
      <c r="A94" s="2">
        <v>93</v>
      </c>
      <c r="B94" s="38">
        <v>45761</v>
      </c>
      <c r="C94" s="15" t="s">
        <v>31</v>
      </c>
      <c r="D94" s="4" t="s">
        <v>124</v>
      </c>
      <c r="E94" s="2" t="s">
        <v>22</v>
      </c>
      <c r="F94" s="10">
        <v>5</v>
      </c>
      <c r="G94" s="11" t="s">
        <v>18</v>
      </c>
      <c r="H94" s="2" t="s">
        <v>27</v>
      </c>
      <c r="I94" s="2">
        <v>100</v>
      </c>
      <c r="J94" s="2">
        <v>21</v>
      </c>
      <c r="K94" s="2">
        <f t="shared" si="2"/>
        <v>21</v>
      </c>
      <c r="L94" s="2">
        <f t="shared" si="3"/>
        <v>8.4</v>
      </c>
    </row>
    <row r="95" spans="1:12" x14ac:dyDescent="0.3">
      <c r="A95" s="7">
        <v>94</v>
      </c>
      <c r="B95" s="39">
        <v>45690</v>
      </c>
      <c r="C95" s="15" t="s">
        <v>31</v>
      </c>
      <c r="D95" s="9" t="s">
        <v>125</v>
      </c>
      <c r="E95" s="7" t="s">
        <v>44</v>
      </c>
      <c r="F95" s="13">
        <v>2</v>
      </c>
      <c r="G95" s="14" t="s">
        <v>23</v>
      </c>
      <c r="H95" s="7" t="s">
        <v>24</v>
      </c>
      <c r="I95" s="7">
        <v>7.9</v>
      </c>
      <c r="J95" s="7">
        <v>24</v>
      </c>
      <c r="K95" s="7">
        <f t="shared" si="2"/>
        <v>1.9</v>
      </c>
      <c r="L95" s="7">
        <f t="shared" si="3"/>
        <v>0.76</v>
      </c>
    </row>
    <row r="96" spans="1:12" x14ac:dyDescent="0.3">
      <c r="A96" s="2">
        <v>95</v>
      </c>
      <c r="B96" s="38">
        <v>45748</v>
      </c>
      <c r="C96" s="3" t="s">
        <v>11</v>
      </c>
      <c r="D96" s="4" t="s">
        <v>126</v>
      </c>
      <c r="E96" s="2" t="s">
        <v>26</v>
      </c>
      <c r="F96" s="10">
        <v>5</v>
      </c>
      <c r="G96" s="11" t="s">
        <v>18</v>
      </c>
      <c r="H96" s="2" t="s">
        <v>27</v>
      </c>
      <c r="I96" s="2">
        <v>92</v>
      </c>
      <c r="J96" s="2">
        <v>10</v>
      </c>
      <c r="K96" s="2">
        <f t="shared" si="2"/>
        <v>9.1999999999999993</v>
      </c>
      <c r="L96" s="2">
        <f t="shared" si="3"/>
        <v>3.68</v>
      </c>
    </row>
    <row r="97" spans="1:12" x14ac:dyDescent="0.3">
      <c r="A97" s="7">
        <v>96</v>
      </c>
      <c r="B97" s="39">
        <v>45835</v>
      </c>
      <c r="C97" s="12" t="s">
        <v>20</v>
      </c>
      <c r="D97" s="9" t="s">
        <v>127</v>
      </c>
      <c r="E97" s="7" t="s">
        <v>29</v>
      </c>
      <c r="F97" s="10">
        <v>5</v>
      </c>
      <c r="G97" s="11" t="s">
        <v>18</v>
      </c>
      <c r="H97" s="7" t="s">
        <v>15</v>
      </c>
      <c r="I97" s="7">
        <v>131.30000000000001</v>
      </c>
      <c r="J97" s="7">
        <v>19</v>
      </c>
      <c r="K97" s="7">
        <f t="shared" si="2"/>
        <v>24.95</v>
      </c>
      <c r="L97" s="7">
        <f t="shared" si="3"/>
        <v>9.98</v>
      </c>
    </row>
    <row r="98" spans="1:12" x14ac:dyDescent="0.3">
      <c r="A98" s="2">
        <v>97</v>
      </c>
      <c r="B98" s="38">
        <v>45779</v>
      </c>
      <c r="C98" s="12" t="s">
        <v>20</v>
      </c>
      <c r="D98" s="4" t="s">
        <v>128</v>
      </c>
      <c r="E98" s="2" t="s">
        <v>29</v>
      </c>
      <c r="F98" s="10">
        <v>5</v>
      </c>
      <c r="G98" s="11" t="s">
        <v>18</v>
      </c>
      <c r="H98" s="2" t="s">
        <v>19</v>
      </c>
      <c r="I98" s="2">
        <v>115.9</v>
      </c>
      <c r="J98" s="2">
        <v>18</v>
      </c>
      <c r="K98" s="2">
        <f t="shared" si="2"/>
        <v>20.86</v>
      </c>
      <c r="L98" s="2">
        <f t="shared" si="3"/>
        <v>8.34</v>
      </c>
    </row>
    <row r="99" spans="1:12" x14ac:dyDescent="0.3">
      <c r="A99" s="7">
        <v>98</v>
      </c>
      <c r="B99" s="39">
        <v>45672</v>
      </c>
      <c r="C99" s="18" t="s">
        <v>40</v>
      </c>
      <c r="D99" s="9" t="s">
        <v>129</v>
      </c>
      <c r="E99" s="7" t="s">
        <v>13</v>
      </c>
      <c r="F99" s="10">
        <v>5</v>
      </c>
      <c r="G99" s="11" t="s">
        <v>18</v>
      </c>
      <c r="H99" s="7" t="s">
        <v>19</v>
      </c>
      <c r="I99" s="7">
        <v>89.3</v>
      </c>
      <c r="J99" s="7">
        <v>16</v>
      </c>
      <c r="K99" s="7">
        <f t="shared" si="2"/>
        <v>14.29</v>
      </c>
      <c r="L99" s="7">
        <f t="shared" si="3"/>
        <v>5.72</v>
      </c>
    </row>
    <row r="100" spans="1:12" x14ac:dyDescent="0.3">
      <c r="A100" s="2">
        <v>99</v>
      </c>
      <c r="B100" s="38">
        <v>45691</v>
      </c>
      <c r="C100" s="8" t="s">
        <v>16</v>
      </c>
      <c r="D100" s="4" t="s">
        <v>130</v>
      </c>
      <c r="E100" s="2" t="s">
        <v>13</v>
      </c>
      <c r="F100" s="10">
        <v>5</v>
      </c>
      <c r="G100" s="11" t="s">
        <v>18</v>
      </c>
      <c r="H100" s="2" t="s">
        <v>19</v>
      </c>
      <c r="I100" s="2">
        <v>129.4</v>
      </c>
      <c r="J100" s="2">
        <v>16</v>
      </c>
      <c r="K100" s="2">
        <f t="shared" si="2"/>
        <v>20.7</v>
      </c>
      <c r="L100" s="2">
        <f t="shared" si="3"/>
        <v>8.2799999999999994</v>
      </c>
    </row>
    <row r="101" spans="1:12" x14ac:dyDescent="0.3">
      <c r="A101" s="7">
        <v>100</v>
      </c>
      <c r="B101" s="39">
        <v>45811</v>
      </c>
      <c r="C101" s="3" t="s">
        <v>11</v>
      </c>
      <c r="D101" s="9" t="s">
        <v>131</v>
      </c>
      <c r="E101" s="7" t="s">
        <v>46</v>
      </c>
      <c r="F101" s="5">
        <v>4</v>
      </c>
      <c r="G101" s="6" t="s">
        <v>14</v>
      </c>
      <c r="H101" s="7" t="s">
        <v>15</v>
      </c>
      <c r="I101" s="7">
        <v>45.1</v>
      </c>
      <c r="J101" s="7">
        <v>17</v>
      </c>
      <c r="K101" s="7">
        <f t="shared" si="2"/>
        <v>7.67</v>
      </c>
      <c r="L101" s="7">
        <f t="shared" si="3"/>
        <v>3.07</v>
      </c>
    </row>
    <row r="102" spans="1:12" x14ac:dyDescent="0.3">
      <c r="A102" s="2">
        <v>101</v>
      </c>
      <c r="B102" s="38">
        <v>45696</v>
      </c>
      <c r="C102" s="15" t="s">
        <v>31</v>
      </c>
      <c r="D102" s="4" t="s">
        <v>132</v>
      </c>
      <c r="E102" s="2" t="s">
        <v>26</v>
      </c>
      <c r="F102" s="5">
        <v>4</v>
      </c>
      <c r="G102" s="6" t="s">
        <v>14</v>
      </c>
      <c r="H102" s="2" t="s">
        <v>27</v>
      </c>
      <c r="I102" s="2">
        <v>45.2</v>
      </c>
      <c r="J102" s="2">
        <v>22</v>
      </c>
      <c r="K102" s="2">
        <f t="shared" si="2"/>
        <v>9.94</v>
      </c>
      <c r="L102" s="2">
        <f t="shared" si="3"/>
        <v>3.98</v>
      </c>
    </row>
    <row r="103" spans="1:12" x14ac:dyDescent="0.3">
      <c r="A103" s="7">
        <v>102</v>
      </c>
      <c r="B103" s="39">
        <v>45813</v>
      </c>
      <c r="C103" s="8" t="s">
        <v>16</v>
      </c>
      <c r="D103" s="9" t="s">
        <v>133</v>
      </c>
      <c r="E103" s="7" t="s">
        <v>22</v>
      </c>
      <c r="F103" s="16">
        <v>3</v>
      </c>
      <c r="G103" s="17" t="s">
        <v>34</v>
      </c>
      <c r="H103" s="7" t="s">
        <v>19</v>
      </c>
      <c r="I103" s="7">
        <v>20.9</v>
      </c>
      <c r="J103" s="7">
        <v>15</v>
      </c>
      <c r="K103" s="7">
        <f t="shared" si="2"/>
        <v>3.14</v>
      </c>
      <c r="L103" s="7">
        <f t="shared" si="3"/>
        <v>1.26</v>
      </c>
    </row>
    <row r="104" spans="1:12" x14ac:dyDescent="0.3">
      <c r="A104" s="2">
        <v>103</v>
      </c>
      <c r="B104" s="38">
        <v>45762</v>
      </c>
      <c r="C104" s="15" t="s">
        <v>31</v>
      </c>
      <c r="D104" s="4" t="s">
        <v>134</v>
      </c>
      <c r="E104" s="2" t="s">
        <v>46</v>
      </c>
      <c r="F104" s="16">
        <v>3</v>
      </c>
      <c r="G104" s="17" t="s">
        <v>34</v>
      </c>
      <c r="H104" s="2" t="s">
        <v>15</v>
      </c>
      <c r="I104" s="2">
        <v>23.4</v>
      </c>
      <c r="J104" s="2">
        <v>18</v>
      </c>
      <c r="K104" s="2">
        <f t="shared" si="2"/>
        <v>4.21</v>
      </c>
      <c r="L104" s="2">
        <f t="shared" si="3"/>
        <v>1.68</v>
      </c>
    </row>
    <row r="105" spans="1:12" x14ac:dyDescent="0.3">
      <c r="A105" s="7">
        <v>104</v>
      </c>
      <c r="B105" s="39">
        <v>45689</v>
      </c>
      <c r="C105" s="8" t="s">
        <v>16</v>
      </c>
      <c r="D105" s="9" t="s">
        <v>135</v>
      </c>
      <c r="E105" s="7" t="s">
        <v>46</v>
      </c>
      <c r="F105" s="5">
        <v>4</v>
      </c>
      <c r="G105" s="6" t="s">
        <v>14</v>
      </c>
      <c r="H105" s="7" t="s">
        <v>15</v>
      </c>
      <c r="I105" s="7">
        <v>37.200000000000003</v>
      </c>
      <c r="J105" s="7">
        <v>11</v>
      </c>
      <c r="K105" s="7">
        <f t="shared" si="2"/>
        <v>4.09</v>
      </c>
      <c r="L105" s="7">
        <f t="shared" si="3"/>
        <v>1.64</v>
      </c>
    </row>
    <row r="106" spans="1:12" x14ac:dyDescent="0.3">
      <c r="A106" s="2">
        <v>105</v>
      </c>
      <c r="B106" s="38">
        <v>45682</v>
      </c>
      <c r="C106" s="12" t="s">
        <v>20</v>
      </c>
      <c r="D106" s="4" t="s">
        <v>136</v>
      </c>
      <c r="E106" s="2" t="s">
        <v>36</v>
      </c>
      <c r="F106" s="5">
        <v>4</v>
      </c>
      <c r="G106" s="6" t="s">
        <v>14</v>
      </c>
      <c r="H106" s="2" t="s">
        <v>27</v>
      </c>
      <c r="I106" s="2">
        <v>26.8</v>
      </c>
      <c r="J106" s="2">
        <v>13</v>
      </c>
      <c r="K106" s="2">
        <f t="shared" si="2"/>
        <v>3.48</v>
      </c>
      <c r="L106" s="2">
        <f t="shared" si="3"/>
        <v>1.39</v>
      </c>
    </row>
    <row r="107" spans="1:12" x14ac:dyDescent="0.3">
      <c r="A107" s="7">
        <v>106</v>
      </c>
      <c r="B107" s="39">
        <v>45688</v>
      </c>
      <c r="C107" s="15" t="s">
        <v>31</v>
      </c>
      <c r="D107" s="9" t="s">
        <v>137</v>
      </c>
      <c r="E107" s="7" t="s">
        <v>44</v>
      </c>
      <c r="F107" s="5">
        <v>4</v>
      </c>
      <c r="G107" s="6" t="s">
        <v>14</v>
      </c>
      <c r="H107" s="7" t="s">
        <v>27</v>
      </c>
      <c r="I107" s="7">
        <v>39.9</v>
      </c>
      <c r="J107" s="7">
        <v>27</v>
      </c>
      <c r="K107" s="7">
        <f t="shared" si="2"/>
        <v>10.77</v>
      </c>
      <c r="L107" s="7">
        <f t="shared" si="3"/>
        <v>4.3099999999999996</v>
      </c>
    </row>
    <row r="108" spans="1:12" x14ac:dyDescent="0.3">
      <c r="A108" s="2">
        <v>107</v>
      </c>
      <c r="B108" s="38">
        <v>45694</v>
      </c>
      <c r="C108" s="3" t="s">
        <v>11</v>
      </c>
      <c r="D108" s="4" t="s">
        <v>138</v>
      </c>
      <c r="E108" s="2" t="s">
        <v>36</v>
      </c>
      <c r="F108" s="5">
        <v>4</v>
      </c>
      <c r="G108" s="6" t="s">
        <v>14</v>
      </c>
      <c r="H108" s="2" t="s">
        <v>15</v>
      </c>
      <c r="I108" s="2">
        <v>38.4</v>
      </c>
      <c r="J108" s="2">
        <v>10</v>
      </c>
      <c r="K108" s="2">
        <f t="shared" si="2"/>
        <v>3.84</v>
      </c>
      <c r="L108" s="2">
        <f t="shared" si="3"/>
        <v>1.54</v>
      </c>
    </row>
    <row r="109" spans="1:12" x14ac:dyDescent="0.3">
      <c r="A109" s="7">
        <v>108</v>
      </c>
      <c r="B109" s="39">
        <v>45733</v>
      </c>
      <c r="C109" s="8" t="s">
        <v>16</v>
      </c>
      <c r="D109" s="9" t="s">
        <v>139</v>
      </c>
      <c r="E109" s="7" t="s">
        <v>36</v>
      </c>
      <c r="F109" s="10">
        <v>5</v>
      </c>
      <c r="G109" s="11" t="s">
        <v>18</v>
      </c>
      <c r="H109" s="7" t="s">
        <v>48</v>
      </c>
      <c r="I109" s="7">
        <v>56.6</v>
      </c>
      <c r="J109" s="7">
        <v>13</v>
      </c>
      <c r="K109" s="7">
        <f t="shared" si="2"/>
        <v>7.36</v>
      </c>
      <c r="L109" s="7">
        <f t="shared" si="3"/>
        <v>2.94</v>
      </c>
    </row>
    <row r="110" spans="1:12" x14ac:dyDescent="0.3">
      <c r="A110" s="2">
        <v>109</v>
      </c>
      <c r="B110" s="38">
        <v>45702</v>
      </c>
      <c r="C110" s="3" t="s">
        <v>11</v>
      </c>
      <c r="D110" s="4" t="s">
        <v>140</v>
      </c>
      <c r="E110" s="2" t="s">
        <v>46</v>
      </c>
      <c r="F110" s="5">
        <v>4</v>
      </c>
      <c r="G110" s="6" t="s">
        <v>14</v>
      </c>
      <c r="H110" s="2" t="s">
        <v>24</v>
      </c>
      <c r="I110" s="2">
        <v>47.6</v>
      </c>
      <c r="J110" s="2">
        <v>17</v>
      </c>
      <c r="K110" s="2">
        <f t="shared" si="2"/>
        <v>8.09</v>
      </c>
      <c r="L110" s="2">
        <f t="shared" si="3"/>
        <v>3.24</v>
      </c>
    </row>
    <row r="111" spans="1:12" x14ac:dyDescent="0.3">
      <c r="A111" s="7">
        <v>110</v>
      </c>
      <c r="B111" s="39">
        <v>45703</v>
      </c>
      <c r="C111" s="15" t="s">
        <v>31</v>
      </c>
      <c r="D111" s="9" t="s">
        <v>141</v>
      </c>
      <c r="E111" s="7" t="s">
        <v>36</v>
      </c>
      <c r="F111" s="16">
        <v>3</v>
      </c>
      <c r="G111" s="17" t="s">
        <v>34</v>
      </c>
      <c r="H111" s="7" t="s">
        <v>24</v>
      </c>
      <c r="I111" s="7">
        <v>22.5</v>
      </c>
      <c r="J111" s="7">
        <v>19</v>
      </c>
      <c r="K111" s="7">
        <f t="shared" si="2"/>
        <v>4.28</v>
      </c>
      <c r="L111" s="7">
        <f t="shared" si="3"/>
        <v>1.71</v>
      </c>
    </row>
    <row r="112" spans="1:12" x14ac:dyDescent="0.3">
      <c r="A112" s="2">
        <v>111</v>
      </c>
      <c r="B112" s="38">
        <v>45762</v>
      </c>
      <c r="C112" s="12" t="s">
        <v>20</v>
      </c>
      <c r="D112" s="4" t="s">
        <v>142</v>
      </c>
      <c r="E112" s="2" t="s">
        <v>36</v>
      </c>
      <c r="F112" s="5">
        <v>4</v>
      </c>
      <c r="G112" s="6" t="s">
        <v>14</v>
      </c>
      <c r="H112" s="2" t="s">
        <v>48</v>
      </c>
      <c r="I112" s="2">
        <v>31.8</v>
      </c>
      <c r="J112" s="2">
        <v>16</v>
      </c>
      <c r="K112" s="2">
        <f t="shared" si="2"/>
        <v>5.09</v>
      </c>
      <c r="L112" s="2">
        <f t="shared" si="3"/>
        <v>2.04</v>
      </c>
    </row>
    <row r="113" spans="1:12" x14ac:dyDescent="0.3">
      <c r="A113" s="7">
        <v>112</v>
      </c>
      <c r="B113" s="39">
        <v>45695</v>
      </c>
      <c r="C113" s="8" t="s">
        <v>16</v>
      </c>
      <c r="D113" s="9" t="s">
        <v>143</v>
      </c>
      <c r="E113" s="7" t="s">
        <v>22</v>
      </c>
      <c r="F113" s="5">
        <v>4</v>
      </c>
      <c r="G113" s="6" t="s">
        <v>14</v>
      </c>
      <c r="H113" s="7" t="s">
        <v>19</v>
      </c>
      <c r="I113" s="7">
        <v>42.6</v>
      </c>
      <c r="J113" s="7">
        <v>15</v>
      </c>
      <c r="K113" s="7">
        <f t="shared" si="2"/>
        <v>6.39</v>
      </c>
      <c r="L113" s="7">
        <f t="shared" si="3"/>
        <v>2.56</v>
      </c>
    </row>
    <row r="114" spans="1:12" x14ac:dyDescent="0.3">
      <c r="A114" s="2">
        <v>113</v>
      </c>
      <c r="B114" s="38">
        <v>45711</v>
      </c>
      <c r="C114" s="12" t="s">
        <v>20</v>
      </c>
      <c r="D114" s="4" t="s">
        <v>144</v>
      </c>
      <c r="E114" s="2" t="s">
        <v>29</v>
      </c>
      <c r="F114" s="10">
        <v>5</v>
      </c>
      <c r="G114" s="11" t="s">
        <v>18</v>
      </c>
      <c r="H114" s="2" t="s">
        <v>15</v>
      </c>
      <c r="I114" s="2">
        <v>121.5</v>
      </c>
      <c r="J114" s="2">
        <v>15</v>
      </c>
      <c r="K114" s="2">
        <f t="shared" si="2"/>
        <v>18.23</v>
      </c>
      <c r="L114" s="2">
        <f t="shared" si="3"/>
        <v>7.29</v>
      </c>
    </row>
    <row r="115" spans="1:12" x14ac:dyDescent="0.3">
      <c r="A115" s="7">
        <v>114</v>
      </c>
      <c r="B115" s="39">
        <v>45801</v>
      </c>
      <c r="C115" s="12" t="s">
        <v>20</v>
      </c>
      <c r="D115" s="9" t="s">
        <v>145</v>
      </c>
      <c r="E115" s="7" t="s">
        <v>22</v>
      </c>
      <c r="F115" s="16">
        <v>3</v>
      </c>
      <c r="G115" s="17" t="s">
        <v>34</v>
      </c>
      <c r="H115" s="7" t="s">
        <v>27</v>
      </c>
      <c r="I115" s="7">
        <v>18.600000000000001</v>
      </c>
      <c r="J115" s="7">
        <v>14</v>
      </c>
      <c r="K115" s="7">
        <f t="shared" si="2"/>
        <v>2.6</v>
      </c>
      <c r="L115" s="7">
        <f t="shared" si="3"/>
        <v>1.04</v>
      </c>
    </row>
    <row r="116" spans="1:12" x14ac:dyDescent="0.3">
      <c r="A116" s="2">
        <v>115</v>
      </c>
      <c r="B116" s="38">
        <v>45739</v>
      </c>
      <c r="C116" s="8" t="s">
        <v>16</v>
      </c>
      <c r="D116" s="4" t="s">
        <v>146</v>
      </c>
      <c r="E116" s="2" t="s">
        <v>46</v>
      </c>
      <c r="F116" s="10">
        <v>5</v>
      </c>
      <c r="G116" s="11" t="s">
        <v>18</v>
      </c>
      <c r="H116" s="2" t="s">
        <v>19</v>
      </c>
      <c r="I116" s="2">
        <v>72.400000000000006</v>
      </c>
      <c r="J116" s="2">
        <v>13</v>
      </c>
      <c r="K116" s="2">
        <f t="shared" si="2"/>
        <v>9.41</v>
      </c>
      <c r="L116" s="2">
        <f t="shared" si="3"/>
        <v>3.76</v>
      </c>
    </row>
    <row r="117" spans="1:12" x14ac:dyDescent="0.3">
      <c r="A117" s="7">
        <v>116</v>
      </c>
      <c r="B117" s="39">
        <v>45785</v>
      </c>
      <c r="C117" s="18" t="s">
        <v>40</v>
      </c>
      <c r="D117" s="9" t="s">
        <v>147</v>
      </c>
      <c r="E117" s="7" t="s">
        <v>26</v>
      </c>
      <c r="F117" s="5">
        <v>4</v>
      </c>
      <c r="G117" s="6" t="s">
        <v>14</v>
      </c>
      <c r="H117" s="7" t="s">
        <v>27</v>
      </c>
      <c r="I117" s="7">
        <v>23.6</v>
      </c>
      <c r="J117" s="7">
        <v>16</v>
      </c>
      <c r="K117" s="7">
        <f t="shared" si="2"/>
        <v>3.78</v>
      </c>
      <c r="L117" s="7">
        <f t="shared" si="3"/>
        <v>1.51</v>
      </c>
    </row>
    <row r="118" spans="1:12" x14ac:dyDescent="0.3">
      <c r="A118" s="2">
        <v>117</v>
      </c>
      <c r="B118" s="38">
        <v>45717</v>
      </c>
      <c r="C118" s="18" t="s">
        <v>40</v>
      </c>
      <c r="D118" s="4" t="s">
        <v>148</v>
      </c>
      <c r="E118" s="2" t="s">
        <v>13</v>
      </c>
      <c r="F118" s="5">
        <v>4</v>
      </c>
      <c r="G118" s="6" t="s">
        <v>14</v>
      </c>
      <c r="H118" s="2" t="s">
        <v>27</v>
      </c>
      <c r="I118" s="2">
        <v>25.3</v>
      </c>
      <c r="J118" s="2">
        <v>20</v>
      </c>
      <c r="K118" s="2">
        <f t="shared" si="2"/>
        <v>5.0599999999999996</v>
      </c>
      <c r="L118" s="2">
        <f t="shared" si="3"/>
        <v>2.02</v>
      </c>
    </row>
    <row r="119" spans="1:12" x14ac:dyDescent="0.3">
      <c r="A119" s="7">
        <v>118</v>
      </c>
      <c r="B119" s="39">
        <v>45723</v>
      </c>
      <c r="C119" s="3" t="s">
        <v>11</v>
      </c>
      <c r="D119" s="9" t="s">
        <v>149</v>
      </c>
      <c r="E119" s="7" t="s">
        <v>44</v>
      </c>
      <c r="F119" s="5">
        <v>4</v>
      </c>
      <c r="G119" s="6" t="s">
        <v>14</v>
      </c>
      <c r="H119" s="7" t="s">
        <v>15</v>
      </c>
      <c r="I119" s="7">
        <v>53.2</v>
      </c>
      <c r="J119" s="7">
        <v>14</v>
      </c>
      <c r="K119" s="7">
        <f t="shared" si="2"/>
        <v>7.45</v>
      </c>
      <c r="L119" s="7">
        <f t="shared" si="3"/>
        <v>2.98</v>
      </c>
    </row>
    <row r="120" spans="1:12" x14ac:dyDescent="0.3">
      <c r="A120" s="2">
        <v>119</v>
      </c>
      <c r="B120" s="38">
        <v>45688</v>
      </c>
      <c r="C120" s="12" t="s">
        <v>20</v>
      </c>
      <c r="D120" s="4" t="s">
        <v>150</v>
      </c>
      <c r="E120" s="2" t="s">
        <v>22</v>
      </c>
      <c r="F120" s="10">
        <v>5</v>
      </c>
      <c r="G120" s="11" t="s">
        <v>18</v>
      </c>
      <c r="H120" s="2" t="s">
        <v>15</v>
      </c>
      <c r="I120" s="2">
        <v>124.4</v>
      </c>
      <c r="J120" s="2">
        <v>19</v>
      </c>
      <c r="K120" s="2">
        <f t="shared" si="2"/>
        <v>23.64</v>
      </c>
      <c r="L120" s="2">
        <f t="shared" si="3"/>
        <v>9.4600000000000009</v>
      </c>
    </row>
    <row r="121" spans="1:12" x14ac:dyDescent="0.3">
      <c r="A121" s="7">
        <v>120</v>
      </c>
      <c r="B121" s="39">
        <v>45750</v>
      </c>
      <c r="C121" s="15" t="s">
        <v>31</v>
      </c>
      <c r="D121" s="9" t="s">
        <v>151</v>
      </c>
      <c r="E121" s="7" t="s">
        <v>33</v>
      </c>
      <c r="F121" s="10">
        <v>5</v>
      </c>
      <c r="G121" s="11" t="s">
        <v>18</v>
      </c>
      <c r="H121" s="7" t="s">
        <v>27</v>
      </c>
      <c r="I121" s="7">
        <v>130.30000000000001</v>
      </c>
      <c r="J121" s="7">
        <v>28</v>
      </c>
      <c r="K121" s="7">
        <f t="shared" si="2"/>
        <v>36.479999999999997</v>
      </c>
      <c r="L121" s="7">
        <f t="shared" si="3"/>
        <v>14.59</v>
      </c>
    </row>
    <row r="122" spans="1:12" x14ac:dyDescent="0.3">
      <c r="A122" s="2">
        <v>121</v>
      </c>
      <c r="B122" s="38">
        <v>45705</v>
      </c>
      <c r="C122" s="12" t="s">
        <v>20</v>
      </c>
      <c r="D122" s="4" t="s">
        <v>152</v>
      </c>
      <c r="E122" s="2" t="s">
        <v>29</v>
      </c>
      <c r="F122" s="5">
        <v>4</v>
      </c>
      <c r="G122" s="6" t="s">
        <v>14</v>
      </c>
      <c r="H122" s="2" t="s">
        <v>24</v>
      </c>
      <c r="I122" s="2">
        <v>20.6</v>
      </c>
      <c r="J122" s="2">
        <v>20</v>
      </c>
      <c r="K122" s="2">
        <f t="shared" si="2"/>
        <v>4.12</v>
      </c>
      <c r="L122" s="2">
        <f t="shared" si="3"/>
        <v>1.65</v>
      </c>
    </row>
    <row r="123" spans="1:12" x14ac:dyDescent="0.3">
      <c r="A123" s="7">
        <v>122</v>
      </c>
      <c r="B123" s="39">
        <v>45831</v>
      </c>
      <c r="C123" s="15" t="s">
        <v>31</v>
      </c>
      <c r="D123" s="9" t="s">
        <v>153</v>
      </c>
      <c r="E123" s="7" t="s">
        <v>46</v>
      </c>
      <c r="F123" s="5">
        <v>4</v>
      </c>
      <c r="G123" s="6" t="s">
        <v>14</v>
      </c>
      <c r="H123" s="7" t="s">
        <v>15</v>
      </c>
      <c r="I123" s="7">
        <v>43.4</v>
      </c>
      <c r="J123" s="7">
        <v>28</v>
      </c>
      <c r="K123" s="7">
        <f t="shared" si="2"/>
        <v>12.15</v>
      </c>
      <c r="L123" s="7">
        <f t="shared" si="3"/>
        <v>4.8600000000000003</v>
      </c>
    </row>
    <row r="124" spans="1:12" x14ac:dyDescent="0.3">
      <c r="A124" s="2">
        <v>123</v>
      </c>
      <c r="B124" s="38">
        <v>45676</v>
      </c>
      <c r="C124" s="18" t="s">
        <v>40</v>
      </c>
      <c r="D124" s="4" t="s">
        <v>154</v>
      </c>
      <c r="E124" s="2" t="s">
        <v>36</v>
      </c>
      <c r="F124" s="10">
        <v>5</v>
      </c>
      <c r="G124" s="11" t="s">
        <v>18</v>
      </c>
      <c r="H124" s="2" t="s">
        <v>24</v>
      </c>
      <c r="I124" s="2">
        <v>42.6</v>
      </c>
      <c r="J124" s="2">
        <v>20</v>
      </c>
      <c r="K124" s="2">
        <f t="shared" si="2"/>
        <v>8.52</v>
      </c>
      <c r="L124" s="2">
        <f t="shared" si="3"/>
        <v>3.41</v>
      </c>
    </row>
    <row r="125" spans="1:12" x14ac:dyDescent="0.3">
      <c r="A125" s="7">
        <v>124</v>
      </c>
      <c r="B125" s="39">
        <v>45786</v>
      </c>
      <c r="C125" s="15" t="s">
        <v>31</v>
      </c>
      <c r="D125" s="9" t="s">
        <v>155</v>
      </c>
      <c r="E125" s="7" t="s">
        <v>13</v>
      </c>
      <c r="F125" s="10">
        <v>5</v>
      </c>
      <c r="G125" s="11" t="s">
        <v>18</v>
      </c>
      <c r="H125" s="7" t="s">
        <v>24</v>
      </c>
      <c r="I125" s="7">
        <v>135.5</v>
      </c>
      <c r="J125" s="7">
        <v>22</v>
      </c>
      <c r="K125" s="7">
        <f t="shared" si="2"/>
        <v>29.81</v>
      </c>
      <c r="L125" s="7">
        <f t="shared" si="3"/>
        <v>11.92</v>
      </c>
    </row>
    <row r="126" spans="1:12" x14ac:dyDescent="0.3">
      <c r="A126" s="2">
        <v>125</v>
      </c>
      <c r="B126" s="38">
        <v>45731</v>
      </c>
      <c r="C126" s="15" t="s">
        <v>31</v>
      </c>
      <c r="D126" s="4" t="s">
        <v>156</v>
      </c>
      <c r="E126" s="2" t="s">
        <v>44</v>
      </c>
      <c r="F126" s="16">
        <v>3</v>
      </c>
      <c r="G126" s="17" t="s">
        <v>34</v>
      </c>
      <c r="H126" s="2" t="s">
        <v>19</v>
      </c>
      <c r="I126" s="2">
        <v>24.1</v>
      </c>
      <c r="J126" s="2">
        <v>22</v>
      </c>
      <c r="K126" s="2">
        <f t="shared" si="2"/>
        <v>5.3</v>
      </c>
      <c r="L126" s="2">
        <f t="shared" si="3"/>
        <v>2.12</v>
      </c>
    </row>
    <row r="127" spans="1:12" x14ac:dyDescent="0.3">
      <c r="A127" s="7">
        <v>126</v>
      </c>
      <c r="B127" s="39">
        <v>45660</v>
      </c>
      <c r="C127" s="8" t="s">
        <v>16</v>
      </c>
      <c r="D127" s="9" t="s">
        <v>157</v>
      </c>
      <c r="E127" s="7" t="s">
        <v>46</v>
      </c>
      <c r="F127" s="16">
        <v>3</v>
      </c>
      <c r="G127" s="17" t="s">
        <v>34</v>
      </c>
      <c r="H127" s="7" t="s">
        <v>48</v>
      </c>
      <c r="I127" s="7">
        <v>10.3</v>
      </c>
      <c r="J127" s="7">
        <v>13</v>
      </c>
      <c r="K127" s="7">
        <f t="shared" si="2"/>
        <v>1.34</v>
      </c>
      <c r="L127" s="7">
        <f t="shared" si="3"/>
        <v>0.54</v>
      </c>
    </row>
    <row r="128" spans="1:12" x14ac:dyDescent="0.3">
      <c r="A128" s="2">
        <v>127</v>
      </c>
      <c r="B128" s="38">
        <v>45807</v>
      </c>
      <c r="C128" s="15" t="s">
        <v>31</v>
      </c>
      <c r="D128" s="4" t="s">
        <v>158</v>
      </c>
      <c r="E128" s="2" t="s">
        <v>44</v>
      </c>
      <c r="F128" s="5">
        <v>4</v>
      </c>
      <c r="G128" s="6" t="s">
        <v>14</v>
      </c>
      <c r="H128" s="2" t="s">
        <v>27</v>
      </c>
      <c r="I128" s="2">
        <v>55.4</v>
      </c>
      <c r="J128" s="2">
        <v>28</v>
      </c>
      <c r="K128" s="2">
        <f t="shared" si="2"/>
        <v>15.51</v>
      </c>
      <c r="L128" s="2">
        <f t="shared" si="3"/>
        <v>6.2</v>
      </c>
    </row>
    <row r="129" spans="1:12" x14ac:dyDescent="0.3">
      <c r="A129" s="7">
        <v>128</v>
      </c>
      <c r="B129" s="39">
        <v>45670</v>
      </c>
      <c r="C129" s="15" t="s">
        <v>31</v>
      </c>
      <c r="D129" s="9" t="s">
        <v>159</v>
      </c>
      <c r="E129" s="7" t="s">
        <v>46</v>
      </c>
      <c r="F129" s="5">
        <v>4</v>
      </c>
      <c r="G129" s="6" t="s">
        <v>14</v>
      </c>
      <c r="H129" s="7" t="s">
        <v>15</v>
      </c>
      <c r="I129" s="7">
        <v>21.3</v>
      </c>
      <c r="J129" s="7">
        <v>23</v>
      </c>
      <c r="K129" s="7">
        <f t="shared" si="2"/>
        <v>4.9000000000000004</v>
      </c>
      <c r="L129" s="7">
        <f t="shared" si="3"/>
        <v>1.96</v>
      </c>
    </row>
    <row r="130" spans="1:12" x14ac:dyDescent="0.3">
      <c r="A130" s="2">
        <v>129</v>
      </c>
      <c r="B130" s="38">
        <v>45744</v>
      </c>
      <c r="C130" s="3" t="s">
        <v>11</v>
      </c>
      <c r="D130" s="4" t="s">
        <v>160</v>
      </c>
      <c r="E130" s="2" t="s">
        <v>29</v>
      </c>
      <c r="F130" s="5">
        <v>4</v>
      </c>
      <c r="G130" s="6" t="s">
        <v>14</v>
      </c>
      <c r="H130" s="2" t="s">
        <v>27</v>
      </c>
      <c r="I130" s="2">
        <v>54.2</v>
      </c>
      <c r="J130" s="2">
        <v>11</v>
      </c>
      <c r="K130" s="2">
        <f t="shared" ref="K130:K193" si="4">ROUND(I130*J130/100,2)</f>
        <v>5.96</v>
      </c>
      <c r="L130" s="2">
        <f t="shared" ref="L130:L193" si="5">ROUND(K130*0.4,2)</f>
        <v>2.38</v>
      </c>
    </row>
    <row r="131" spans="1:12" x14ac:dyDescent="0.3">
      <c r="A131" s="7">
        <v>130</v>
      </c>
      <c r="B131" s="39">
        <v>45713</v>
      </c>
      <c r="C131" s="15" t="s">
        <v>31</v>
      </c>
      <c r="D131" s="9" t="s">
        <v>161</v>
      </c>
      <c r="E131" s="7" t="s">
        <v>22</v>
      </c>
      <c r="F131" s="5">
        <v>4</v>
      </c>
      <c r="G131" s="6" t="s">
        <v>14</v>
      </c>
      <c r="H131" s="7" t="s">
        <v>15</v>
      </c>
      <c r="I131" s="7">
        <v>22.4</v>
      </c>
      <c r="J131" s="7">
        <v>22</v>
      </c>
      <c r="K131" s="7">
        <f t="shared" si="4"/>
        <v>4.93</v>
      </c>
      <c r="L131" s="7">
        <f t="shared" si="5"/>
        <v>1.97</v>
      </c>
    </row>
    <row r="132" spans="1:12" x14ac:dyDescent="0.3">
      <c r="A132" s="2">
        <v>131</v>
      </c>
      <c r="B132" s="38">
        <v>45754</v>
      </c>
      <c r="C132" s="15" t="s">
        <v>31</v>
      </c>
      <c r="D132" s="4" t="s">
        <v>162</v>
      </c>
      <c r="E132" s="2" t="s">
        <v>29</v>
      </c>
      <c r="F132" s="10">
        <v>5</v>
      </c>
      <c r="G132" s="11" t="s">
        <v>18</v>
      </c>
      <c r="H132" s="2" t="s">
        <v>24</v>
      </c>
      <c r="I132" s="2">
        <v>49.6</v>
      </c>
      <c r="J132" s="2">
        <v>21</v>
      </c>
      <c r="K132" s="2">
        <f t="shared" si="4"/>
        <v>10.42</v>
      </c>
      <c r="L132" s="2">
        <f t="shared" si="5"/>
        <v>4.17</v>
      </c>
    </row>
    <row r="133" spans="1:12" x14ac:dyDescent="0.3">
      <c r="A133" s="7">
        <v>132</v>
      </c>
      <c r="B133" s="39">
        <v>45760</v>
      </c>
      <c r="C133" s="12" t="s">
        <v>20</v>
      </c>
      <c r="D133" s="9" t="s">
        <v>163</v>
      </c>
      <c r="E133" s="7" t="s">
        <v>13</v>
      </c>
      <c r="F133" s="13">
        <v>2</v>
      </c>
      <c r="G133" s="14" t="s">
        <v>23</v>
      </c>
      <c r="H133" s="7" t="s">
        <v>15</v>
      </c>
      <c r="I133" s="7">
        <v>4.7</v>
      </c>
      <c r="J133" s="7">
        <v>14</v>
      </c>
      <c r="K133" s="7">
        <f t="shared" si="4"/>
        <v>0.66</v>
      </c>
      <c r="L133" s="7">
        <f t="shared" si="5"/>
        <v>0.26</v>
      </c>
    </row>
    <row r="134" spans="1:12" x14ac:dyDescent="0.3">
      <c r="A134" s="2">
        <v>133</v>
      </c>
      <c r="B134" s="38">
        <v>45744</v>
      </c>
      <c r="C134" s="12" t="s">
        <v>20</v>
      </c>
      <c r="D134" s="4" t="s">
        <v>164</v>
      </c>
      <c r="E134" s="2" t="s">
        <v>44</v>
      </c>
      <c r="F134" s="13">
        <v>2</v>
      </c>
      <c r="G134" s="14" t="s">
        <v>23</v>
      </c>
      <c r="H134" s="2" t="s">
        <v>48</v>
      </c>
      <c r="I134" s="2">
        <v>4.5</v>
      </c>
      <c r="J134" s="2">
        <v>15</v>
      </c>
      <c r="K134" s="2">
        <f t="shared" si="4"/>
        <v>0.68</v>
      </c>
      <c r="L134" s="2">
        <f t="shared" si="5"/>
        <v>0.27</v>
      </c>
    </row>
    <row r="135" spans="1:12" x14ac:dyDescent="0.3">
      <c r="A135" s="7">
        <v>134</v>
      </c>
      <c r="B135" s="39">
        <v>45760</v>
      </c>
      <c r="C135" s="18" t="s">
        <v>40</v>
      </c>
      <c r="D135" s="9" t="s">
        <v>165</v>
      </c>
      <c r="E135" s="7" t="s">
        <v>33</v>
      </c>
      <c r="F135" s="16">
        <v>3</v>
      </c>
      <c r="G135" s="17" t="s">
        <v>34</v>
      </c>
      <c r="H135" s="7" t="s">
        <v>27</v>
      </c>
      <c r="I135" s="7">
        <v>21.4</v>
      </c>
      <c r="J135" s="7">
        <v>21</v>
      </c>
      <c r="K135" s="7">
        <f t="shared" si="4"/>
        <v>4.49</v>
      </c>
      <c r="L135" s="7">
        <f t="shared" si="5"/>
        <v>1.8</v>
      </c>
    </row>
    <row r="136" spans="1:12" x14ac:dyDescent="0.3">
      <c r="A136" s="2">
        <v>135</v>
      </c>
      <c r="B136" s="38">
        <v>45756</v>
      </c>
      <c r="C136" s="15" t="s">
        <v>31</v>
      </c>
      <c r="D136" s="4" t="s">
        <v>166</v>
      </c>
      <c r="E136" s="2" t="s">
        <v>36</v>
      </c>
      <c r="F136" s="10">
        <v>5</v>
      </c>
      <c r="G136" s="11" t="s">
        <v>18</v>
      </c>
      <c r="H136" s="2" t="s">
        <v>27</v>
      </c>
      <c r="I136" s="2">
        <v>143.69999999999999</v>
      </c>
      <c r="J136" s="2">
        <v>26</v>
      </c>
      <c r="K136" s="2">
        <f t="shared" si="4"/>
        <v>37.36</v>
      </c>
      <c r="L136" s="2">
        <f t="shared" si="5"/>
        <v>14.94</v>
      </c>
    </row>
    <row r="137" spans="1:12" x14ac:dyDescent="0.3">
      <c r="A137" s="7">
        <v>136</v>
      </c>
      <c r="B137" s="39">
        <v>45764</v>
      </c>
      <c r="C137" s="12" t="s">
        <v>20</v>
      </c>
      <c r="D137" s="9" t="s">
        <v>167</v>
      </c>
      <c r="E137" s="7" t="s">
        <v>44</v>
      </c>
      <c r="F137" s="16">
        <v>3</v>
      </c>
      <c r="G137" s="17" t="s">
        <v>34</v>
      </c>
      <c r="H137" s="7" t="s">
        <v>19</v>
      </c>
      <c r="I137" s="7">
        <v>10.199999999999999</v>
      </c>
      <c r="J137" s="7">
        <v>17</v>
      </c>
      <c r="K137" s="7">
        <f t="shared" si="4"/>
        <v>1.73</v>
      </c>
      <c r="L137" s="7">
        <f t="shared" si="5"/>
        <v>0.69</v>
      </c>
    </row>
    <row r="138" spans="1:12" x14ac:dyDescent="0.3">
      <c r="A138" s="2">
        <v>137</v>
      </c>
      <c r="B138" s="38">
        <v>45752</v>
      </c>
      <c r="C138" s="15" t="s">
        <v>31</v>
      </c>
      <c r="D138" s="4" t="s">
        <v>168</v>
      </c>
      <c r="E138" s="2" t="s">
        <v>13</v>
      </c>
      <c r="F138" s="5">
        <v>4</v>
      </c>
      <c r="G138" s="6" t="s">
        <v>14</v>
      </c>
      <c r="H138" s="2" t="s">
        <v>19</v>
      </c>
      <c r="I138" s="2">
        <v>27</v>
      </c>
      <c r="J138" s="2">
        <v>18</v>
      </c>
      <c r="K138" s="2">
        <f t="shared" si="4"/>
        <v>4.8600000000000003</v>
      </c>
      <c r="L138" s="2">
        <f t="shared" si="5"/>
        <v>1.94</v>
      </c>
    </row>
    <row r="139" spans="1:12" x14ac:dyDescent="0.3">
      <c r="A139" s="7">
        <v>138</v>
      </c>
      <c r="B139" s="39">
        <v>45794</v>
      </c>
      <c r="C139" s="15" t="s">
        <v>31</v>
      </c>
      <c r="D139" s="9" t="s">
        <v>169</v>
      </c>
      <c r="E139" s="7" t="s">
        <v>44</v>
      </c>
      <c r="F139" s="5">
        <v>4</v>
      </c>
      <c r="G139" s="6" t="s">
        <v>14</v>
      </c>
      <c r="H139" s="7" t="s">
        <v>19</v>
      </c>
      <c r="I139" s="7">
        <v>39</v>
      </c>
      <c r="J139" s="7">
        <v>23</v>
      </c>
      <c r="K139" s="7">
        <f t="shared" si="4"/>
        <v>8.9700000000000006</v>
      </c>
      <c r="L139" s="7">
        <f t="shared" si="5"/>
        <v>3.59</v>
      </c>
    </row>
    <row r="140" spans="1:12" x14ac:dyDescent="0.3">
      <c r="A140" s="2">
        <v>139</v>
      </c>
      <c r="B140" s="38">
        <v>45681</v>
      </c>
      <c r="C140" s="8" t="s">
        <v>16</v>
      </c>
      <c r="D140" s="4" t="s">
        <v>170</v>
      </c>
      <c r="E140" s="2" t="s">
        <v>13</v>
      </c>
      <c r="F140" s="16">
        <v>3</v>
      </c>
      <c r="G140" s="17" t="s">
        <v>34</v>
      </c>
      <c r="H140" s="2" t="s">
        <v>48</v>
      </c>
      <c r="I140" s="2">
        <v>11.8</v>
      </c>
      <c r="J140" s="2">
        <v>14</v>
      </c>
      <c r="K140" s="2">
        <f t="shared" si="4"/>
        <v>1.65</v>
      </c>
      <c r="L140" s="2">
        <f t="shared" si="5"/>
        <v>0.66</v>
      </c>
    </row>
    <row r="141" spans="1:12" x14ac:dyDescent="0.3">
      <c r="A141" s="7">
        <v>140</v>
      </c>
      <c r="B141" s="39">
        <v>45704</v>
      </c>
      <c r="C141" s="18" t="s">
        <v>40</v>
      </c>
      <c r="D141" s="9" t="s">
        <v>171</v>
      </c>
      <c r="E141" s="7" t="s">
        <v>13</v>
      </c>
      <c r="F141" s="10">
        <v>5</v>
      </c>
      <c r="G141" s="11" t="s">
        <v>18</v>
      </c>
      <c r="H141" s="7" t="s">
        <v>48</v>
      </c>
      <c r="I141" s="7">
        <v>71.7</v>
      </c>
      <c r="J141" s="7">
        <v>22</v>
      </c>
      <c r="K141" s="7">
        <f t="shared" si="4"/>
        <v>15.77</v>
      </c>
      <c r="L141" s="7">
        <f t="shared" si="5"/>
        <v>6.31</v>
      </c>
    </row>
    <row r="142" spans="1:12" x14ac:dyDescent="0.3">
      <c r="A142" s="2">
        <v>141</v>
      </c>
      <c r="B142" s="38">
        <v>45667</v>
      </c>
      <c r="C142" s="3" t="s">
        <v>11</v>
      </c>
      <c r="D142" s="4" t="s">
        <v>172</v>
      </c>
      <c r="E142" s="2" t="s">
        <v>13</v>
      </c>
      <c r="F142" s="10">
        <v>5</v>
      </c>
      <c r="G142" s="11" t="s">
        <v>18</v>
      </c>
      <c r="H142" s="2" t="s">
        <v>24</v>
      </c>
      <c r="I142" s="2">
        <v>84.8</v>
      </c>
      <c r="J142" s="2">
        <v>11</v>
      </c>
      <c r="K142" s="2">
        <f t="shared" si="4"/>
        <v>9.33</v>
      </c>
      <c r="L142" s="2">
        <f t="shared" si="5"/>
        <v>3.73</v>
      </c>
    </row>
    <row r="143" spans="1:12" x14ac:dyDescent="0.3">
      <c r="A143" s="7">
        <v>142</v>
      </c>
      <c r="B143" s="39">
        <v>45753</v>
      </c>
      <c r="C143" s="18" t="s">
        <v>40</v>
      </c>
      <c r="D143" s="9" t="s">
        <v>173</v>
      </c>
      <c r="E143" s="7" t="s">
        <v>13</v>
      </c>
      <c r="F143" s="10">
        <v>5</v>
      </c>
      <c r="G143" s="11" t="s">
        <v>18</v>
      </c>
      <c r="H143" s="7" t="s">
        <v>19</v>
      </c>
      <c r="I143" s="7">
        <v>134.4</v>
      </c>
      <c r="J143" s="7">
        <v>17</v>
      </c>
      <c r="K143" s="7">
        <f t="shared" si="4"/>
        <v>22.85</v>
      </c>
      <c r="L143" s="7">
        <f t="shared" si="5"/>
        <v>9.14</v>
      </c>
    </row>
    <row r="144" spans="1:12" x14ac:dyDescent="0.3">
      <c r="A144" s="2">
        <v>143</v>
      </c>
      <c r="B144" s="38">
        <v>45760</v>
      </c>
      <c r="C144" s="12" t="s">
        <v>20</v>
      </c>
      <c r="D144" s="4" t="s">
        <v>174</v>
      </c>
      <c r="E144" s="2" t="s">
        <v>44</v>
      </c>
      <c r="F144" s="13">
        <v>2</v>
      </c>
      <c r="G144" s="14" t="s">
        <v>23</v>
      </c>
      <c r="H144" s="2" t="s">
        <v>15</v>
      </c>
      <c r="I144" s="2">
        <v>7.4</v>
      </c>
      <c r="J144" s="2">
        <v>20</v>
      </c>
      <c r="K144" s="2">
        <f t="shared" si="4"/>
        <v>1.48</v>
      </c>
      <c r="L144" s="2">
        <f t="shared" si="5"/>
        <v>0.59</v>
      </c>
    </row>
    <row r="145" spans="1:12" x14ac:dyDescent="0.3">
      <c r="A145" s="7">
        <v>144</v>
      </c>
      <c r="B145" s="39">
        <v>45771</v>
      </c>
      <c r="C145" s="3" t="s">
        <v>11</v>
      </c>
      <c r="D145" s="9" t="s">
        <v>175</v>
      </c>
      <c r="E145" s="7" t="s">
        <v>44</v>
      </c>
      <c r="F145" s="5">
        <v>4</v>
      </c>
      <c r="G145" s="6" t="s">
        <v>14</v>
      </c>
      <c r="H145" s="7" t="s">
        <v>48</v>
      </c>
      <c r="I145" s="7">
        <v>41.2</v>
      </c>
      <c r="J145" s="7">
        <v>17</v>
      </c>
      <c r="K145" s="7">
        <f t="shared" si="4"/>
        <v>7</v>
      </c>
      <c r="L145" s="7">
        <f t="shared" si="5"/>
        <v>2.8</v>
      </c>
    </row>
    <row r="146" spans="1:12" x14ac:dyDescent="0.3">
      <c r="A146" s="2">
        <v>145</v>
      </c>
      <c r="B146" s="38">
        <v>45716</v>
      </c>
      <c r="C146" s="3" t="s">
        <v>11</v>
      </c>
      <c r="D146" s="4" t="s">
        <v>176</v>
      </c>
      <c r="E146" s="2" t="s">
        <v>46</v>
      </c>
      <c r="F146" s="5">
        <v>4</v>
      </c>
      <c r="G146" s="6" t="s">
        <v>14</v>
      </c>
      <c r="H146" s="2" t="s">
        <v>19</v>
      </c>
      <c r="I146" s="2">
        <v>54.1</v>
      </c>
      <c r="J146" s="2">
        <v>13</v>
      </c>
      <c r="K146" s="2">
        <f t="shared" si="4"/>
        <v>7.03</v>
      </c>
      <c r="L146" s="2">
        <f t="shared" si="5"/>
        <v>2.81</v>
      </c>
    </row>
    <row r="147" spans="1:12" x14ac:dyDescent="0.3">
      <c r="A147" s="7">
        <v>146</v>
      </c>
      <c r="B147" s="39">
        <v>45737</v>
      </c>
      <c r="C147" s="3" t="s">
        <v>11</v>
      </c>
      <c r="D147" s="9" t="s">
        <v>177</v>
      </c>
      <c r="E147" s="7" t="s">
        <v>29</v>
      </c>
      <c r="F147" s="10">
        <v>5</v>
      </c>
      <c r="G147" s="11" t="s">
        <v>18</v>
      </c>
      <c r="H147" s="7" t="s">
        <v>24</v>
      </c>
      <c r="I147" s="7">
        <v>75.599999999999994</v>
      </c>
      <c r="J147" s="7">
        <v>17</v>
      </c>
      <c r="K147" s="7">
        <f t="shared" si="4"/>
        <v>12.85</v>
      </c>
      <c r="L147" s="7">
        <f t="shared" si="5"/>
        <v>5.14</v>
      </c>
    </row>
    <row r="148" spans="1:12" x14ac:dyDescent="0.3">
      <c r="A148" s="2">
        <v>147</v>
      </c>
      <c r="B148" s="38">
        <v>45825</v>
      </c>
      <c r="C148" s="8" t="s">
        <v>16</v>
      </c>
      <c r="D148" s="4" t="s">
        <v>178</v>
      </c>
      <c r="E148" s="2" t="s">
        <v>36</v>
      </c>
      <c r="F148" s="10">
        <v>5</v>
      </c>
      <c r="G148" s="11" t="s">
        <v>18</v>
      </c>
      <c r="H148" s="2" t="s">
        <v>15</v>
      </c>
      <c r="I148" s="2">
        <v>84.8</v>
      </c>
      <c r="J148" s="2">
        <v>15</v>
      </c>
      <c r="K148" s="2">
        <f t="shared" si="4"/>
        <v>12.72</v>
      </c>
      <c r="L148" s="2">
        <f t="shared" si="5"/>
        <v>5.09</v>
      </c>
    </row>
    <row r="149" spans="1:12" x14ac:dyDescent="0.3">
      <c r="A149" s="7">
        <v>148</v>
      </c>
      <c r="B149" s="39">
        <v>45715</v>
      </c>
      <c r="C149" s="15" t="s">
        <v>31</v>
      </c>
      <c r="D149" s="9" t="s">
        <v>179</v>
      </c>
      <c r="E149" s="7" t="s">
        <v>22</v>
      </c>
      <c r="F149" s="10">
        <v>5</v>
      </c>
      <c r="G149" s="11" t="s">
        <v>18</v>
      </c>
      <c r="H149" s="7" t="s">
        <v>24</v>
      </c>
      <c r="I149" s="7">
        <v>47</v>
      </c>
      <c r="J149" s="7">
        <v>19</v>
      </c>
      <c r="K149" s="7">
        <f t="shared" si="4"/>
        <v>8.93</v>
      </c>
      <c r="L149" s="7">
        <f t="shared" si="5"/>
        <v>3.57</v>
      </c>
    </row>
    <row r="150" spans="1:12" x14ac:dyDescent="0.3">
      <c r="A150" s="2">
        <v>149</v>
      </c>
      <c r="B150" s="38">
        <v>45825</v>
      </c>
      <c r="C150" s="15" t="s">
        <v>31</v>
      </c>
      <c r="D150" s="4" t="s">
        <v>180</v>
      </c>
      <c r="E150" s="2" t="s">
        <v>44</v>
      </c>
      <c r="F150" s="16">
        <v>3</v>
      </c>
      <c r="G150" s="17" t="s">
        <v>34</v>
      </c>
      <c r="H150" s="2" t="s">
        <v>15</v>
      </c>
      <c r="I150" s="2">
        <v>21.8</v>
      </c>
      <c r="J150" s="2">
        <v>26</v>
      </c>
      <c r="K150" s="2">
        <f t="shared" si="4"/>
        <v>5.67</v>
      </c>
      <c r="L150" s="2">
        <f t="shared" si="5"/>
        <v>2.27</v>
      </c>
    </row>
    <row r="151" spans="1:12" x14ac:dyDescent="0.3">
      <c r="A151" s="7">
        <v>150</v>
      </c>
      <c r="B151" s="39">
        <v>45737</v>
      </c>
      <c r="C151" s="18" t="s">
        <v>40</v>
      </c>
      <c r="D151" s="9" t="s">
        <v>181</v>
      </c>
      <c r="E151" s="7" t="s">
        <v>26</v>
      </c>
      <c r="F151" s="10">
        <v>5</v>
      </c>
      <c r="G151" s="11" t="s">
        <v>18</v>
      </c>
      <c r="H151" s="7" t="s">
        <v>48</v>
      </c>
      <c r="I151" s="7">
        <v>74.599999999999994</v>
      </c>
      <c r="J151" s="7">
        <v>13</v>
      </c>
      <c r="K151" s="7">
        <f t="shared" si="4"/>
        <v>9.6999999999999993</v>
      </c>
      <c r="L151" s="7">
        <f t="shared" si="5"/>
        <v>3.88</v>
      </c>
    </row>
    <row r="152" spans="1:12" x14ac:dyDescent="0.3">
      <c r="A152" s="2">
        <v>151</v>
      </c>
      <c r="B152" s="38">
        <v>45685</v>
      </c>
      <c r="C152" s="15" t="s">
        <v>31</v>
      </c>
      <c r="D152" s="4" t="s">
        <v>182</v>
      </c>
      <c r="E152" s="2" t="s">
        <v>22</v>
      </c>
      <c r="F152" s="10">
        <v>5</v>
      </c>
      <c r="G152" s="11" t="s">
        <v>18</v>
      </c>
      <c r="H152" s="2" t="s">
        <v>24</v>
      </c>
      <c r="I152" s="2">
        <v>131.1</v>
      </c>
      <c r="J152" s="2">
        <v>18</v>
      </c>
      <c r="K152" s="2">
        <f t="shared" si="4"/>
        <v>23.6</v>
      </c>
      <c r="L152" s="2">
        <f t="shared" si="5"/>
        <v>9.44</v>
      </c>
    </row>
    <row r="153" spans="1:12" x14ac:dyDescent="0.3">
      <c r="A153" s="7">
        <v>152</v>
      </c>
      <c r="B153" s="39">
        <v>45834</v>
      </c>
      <c r="C153" s="3" t="s">
        <v>11</v>
      </c>
      <c r="D153" s="9" t="s">
        <v>183</v>
      </c>
      <c r="E153" s="7" t="s">
        <v>46</v>
      </c>
      <c r="F153" s="5">
        <v>4</v>
      </c>
      <c r="G153" s="6" t="s">
        <v>14</v>
      </c>
      <c r="H153" s="7" t="s">
        <v>19</v>
      </c>
      <c r="I153" s="7">
        <v>43.1</v>
      </c>
      <c r="J153" s="7">
        <v>13</v>
      </c>
      <c r="K153" s="7">
        <f t="shared" si="4"/>
        <v>5.6</v>
      </c>
      <c r="L153" s="7">
        <f t="shared" si="5"/>
        <v>2.2400000000000002</v>
      </c>
    </row>
    <row r="154" spans="1:12" x14ac:dyDescent="0.3">
      <c r="A154" s="2">
        <v>153</v>
      </c>
      <c r="B154" s="38">
        <v>45738</v>
      </c>
      <c r="C154" s="18" t="s">
        <v>40</v>
      </c>
      <c r="D154" s="4" t="s">
        <v>184</v>
      </c>
      <c r="E154" s="2" t="s">
        <v>13</v>
      </c>
      <c r="F154" s="5">
        <v>4</v>
      </c>
      <c r="G154" s="6" t="s">
        <v>14</v>
      </c>
      <c r="H154" s="2" t="s">
        <v>19</v>
      </c>
      <c r="I154" s="2">
        <v>34</v>
      </c>
      <c r="J154" s="2">
        <v>20</v>
      </c>
      <c r="K154" s="2">
        <f t="shared" si="4"/>
        <v>6.8</v>
      </c>
      <c r="L154" s="2">
        <f t="shared" si="5"/>
        <v>2.72</v>
      </c>
    </row>
    <row r="155" spans="1:12" x14ac:dyDescent="0.3">
      <c r="A155" s="7">
        <v>154</v>
      </c>
      <c r="B155" s="39">
        <v>45713</v>
      </c>
      <c r="C155" s="15" t="s">
        <v>31</v>
      </c>
      <c r="D155" s="9" t="s">
        <v>185</v>
      </c>
      <c r="E155" s="7" t="s">
        <v>29</v>
      </c>
      <c r="F155" s="10">
        <v>5</v>
      </c>
      <c r="G155" s="11" t="s">
        <v>18</v>
      </c>
      <c r="H155" s="7" t="s">
        <v>48</v>
      </c>
      <c r="I155" s="7">
        <v>63.7</v>
      </c>
      <c r="J155" s="7">
        <v>24</v>
      </c>
      <c r="K155" s="7">
        <f t="shared" si="4"/>
        <v>15.29</v>
      </c>
      <c r="L155" s="7">
        <f t="shared" si="5"/>
        <v>6.12</v>
      </c>
    </row>
    <row r="156" spans="1:12" x14ac:dyDescent="0.3">
      <c r="A156" s="2">
        <v>155</v>
      </c>
      <c r="B156" s="38">
        <v>45830</v>
      </c>
      <c r="C156" s="8" t="s">
        <v>16</v>
      </c>
      <c r="D156" s="4" t="s">
        <v>186</v>
      </c>
      <c r="E156" s="2" t="s">
        <v>13</v>
      </c>
      <c r="F156" s="10">
        <v>5</v>
      </c>
      <c r="G156" s="11" t="s">
        <v>18</v>
      </c>
      <c r="H156" s="2" t="s">
        <v>48</v>
      </c>
      <c r="I156" s="2">
        <v>104.4</v>
      </c>
      <c r="J156" s="2">
        <v>15</v>
      </c>
      <c r="K156" s="2">
        <f t="shared" si="4"/>
        <v>15.66</v>
      </c>
      <c r="L156" s="2">
        <f t="shared" si="5"/>
        <v>6.26</v>
      </c>
    </row>
    <row r="157" spans="1:12" x14ac:dyDescent="0.3">
      <c r="A157" s="7">
        <v>156</v>
      </c>
      <c r="B157" s="39">
        <v>45721</v>
      </c>
      <c r="C157" s="18" t="s">
        <v>40</v>
      </c>
      <c r="D157" s="9" t="s">
        <v>187</v>
      </c>
      <c r="E157" s="7" t="s">
        <v>36</v>
      </c>
      <c r="F157" s="5">
        <v>4</v>
      </c>
      <c r="G157" s="6" t="s">
        <v>14</v>
      </c>
      <c r="H157" s="7" t="s">
        <v>15</v>
      </c>
      <c r="I157" s="7">
        <v>21.2</v>
      </c>
      <c r="J157" s="7">
        <v>16</v>
      </c>
      <c r="K157" s="7">
        <f t="shared" si="4"/>
        <v>3.39</v>
      </c>
      <c r="L157" s="7">
        <f t="shared" si="5"/>
        <v>1.36</v>
      </c>
    </row>
    <row r="158" spans="1:12" x14ac:dyDescent="0.3">
      <c r="A158" s="2">
        <v>157</v>
      </c>
      <c r="B158" s="38">
        <v>45756</v>
      </c>
      <c r="C158" s="15" t="s">
        <v>31</v>
      </c>
      <c r="D158" s="4" t="s">
        <v>188</v>
      </c>
      <c r="E158" s="2" t="s">
        <v>36</v>
      </c>
      <c r="F158" s="10">
        <v>5</v>
      </c>
      <c r="G158" s="11" t="s">
        <v>18</v>
      </c>
      <c r="H158" s="2" t="s">
        <v>15</v>
      </c>
      <c r="I158" s="2">
        <v>40.6</v>
      </c>
      <c r="J158" s="2">
        <v>20</v>
      </c>
      <c r="K158" s="2">
        <f t="shared" si="4"/>
        <v>8.1199999999999992</v>
      </c>
      <c r="L158" s="2">
        <f t="shared" si="5"/>
        <v>3.25</v>
      </c>
    </row>
    <row r="159" spans="1:12" x14ac:dyDescent="0.3">
      <c r="A159" s="7">
        <v>158</v>
      </c>
      <c r="B159" s="39">
        <v>45733</v>
      </c>
      <c r="C159" s="12" t="s">
        <v>20</v>
      </c>
      <c r="D159" s="9" t="s">
        <v>189</v>
      </c>
      <c r="E159" s="7" t="s">
        <v>46</v>
      </c>
      <c r="F159" s="5">
        <v>4</v>
      </c>
      <c r="G159" s="6" t="s">
        <v>14</v>
      </c>
      <c r="H159" s="7" t="s">
        <v>27</v>
      </c>
      <c r="I159" s="7">
        <v>49.6</v>
      </c>
      <c r="J159" s="7">
        <v>12</v>
      </c>
      <c r="K159" s="7">
        <f t="shared" si="4"/>
        <v>5.95</v>
      </c>
      <c r="L159" s="7">
        <f t="shared" si="5"/>
        <v>2.38</v>
      </c>
    </row>
    <row r="160" spans="1:12" x14ac:dyDescent="0.3">
      <c r="A160" s="2">
        <v>159</v>
      </c>
      <c r="B160" s="38">
        <v>45770</v>
      </c>
      <c r="C160" s="18" t="s">
        <v>40</v>
      </c>
      <c r="D160" s="4" t="s">
        <v>190</v>
      </c>
      <c r="E160" s="2" t="s">
        <v>13</v>
      </c>
      <c r="F160" s="5">
        <v>4</v>
      </c>
      <c r="G160" s="6" t="s">
        <v>14</v>
      </c>
      <c r="H160" s="2" t="s">
        <v>24</v>
      </c>
      <c r="I160" s="2">
        <v>36.799999999999997</v>
      </c>
      <c r="J160" s="2">
        <v>17</v>
      </c>
      <c r="K160" s="2">
        <f t="shared" si="4"/>
        <v>6.26</v>
      </c>
      <c r="L160" s="2">
        <f t="shared" si="5"/>
        <v>2.5</v>
      </c>
    </row>
    <row r="161" spans="1:12" x14ac:dyDescent="0.3">
      <c r="A161" s="7">
        <v>160</v>
      </c>
      <c r="B161" s="39">
        <v>45678</v>
      </c>
      <c r="C161" s="12" t="s">
        <v>20</v>
      </c>
      <c r="D161" s="9" t="s">
        <v>191</v>
      </c>
      <c r="E161" s="7" t="s">
        <v>22</v>
      </c>
      <c r="F161" s="5">
        <v>4</v>
      </c>
      <c r="G161" s="6" t="s">
        <v>14</v>
      </c>
      <c r="H161" s="7" t="s">
        <v>15</v>
      </c>
      <c r="I161" s="7">
        <v>51.1</v>
      </c>
      <c r="J161" s="7">
        <v>13</v>
      </c>
      <c r="K161" s="7">
        <f t="shared" si="4"/>
        <v>6.64</v>
      </c>
      <c r="L161" s="7">
        <f t="shared" si="5"/>
        <v>2.66</v>
      </c>
    </row>
    <row r="162" spans="1:12" x14ac:dyDescent="0.3">
      <c r="A162" s="2">
        <v>161</v>
      </c>
      <c r="B162" s="38">
        <v>45770</v>
      </c>
      <c r="C162" s="3" t="s">
        <v>11</v>
      </c>
      <c r="D162" s="4" t="s">
        <v>192</v>
      </c>
      <c r="E162" s="2" t="s">
        <v>13</v>
      </c>
      <c r="F162" s="16">
        <v>3</v>
      </c>
      <c r="G162" s="17" t="s">
        <v>34</v>
      </c>
      <c r="H162" s="2" t="s">
        <v>48</v>
      </c>
      <c r="I162" s="2">
        <v>8.8000000000000007</v>
      </c>
      <c r="J162" s="2">
        <v>11</v>
      </c>
      <c r="K162" s="2">
        <f t="shared" si="4"/>
        <v>0.97</v>
      </c>
      <c r="L162" s="2">
        <f t="shared" si="5"/>
        <v>0.39</v>
      </c>
    </row>
    <row r="163" spans="1:12" x14ac:dyDescent="0.3">
      <c r="A163" s="7">
        <v>162</v>
      </c>
      <c r="B163" s="39">
        <v>45765</v>
      </c>
      <c r="C163" s="15" t="s">
        <v>31</v>
      </c>
      <c r="D163" s="9" t="s">
        <v>193</v>
      </c>
      <c r="E163" s="7" t="s">
        <v>46</v>
      </c>
      <c r="F163" s="10">
        <v>5</v>
      </c>
      <c r="G163" s="11" t="s">
        <v>18</v>
      </c>
      <c r="H163" s="7" t="s">
        <v>24</v>
      </c>
      <c r="I163" s="7">
        <v>103.7</v>
      </c>
      <c r="J163" s="7">
        <v>24</v>
      </c>
      <c r="K163" s="7">
        <f t="shared" si="4"/>
        <v>24.89</v>
      </c>
      <c r="L163" s="7">
        <f t="shared" si="5"/>
        <v>9.9600000000000009</v>
      </c>
    </row>
    <row r="164" spans="1:12" x14ac:dyDescent="0.3">
      <c r="A164" s="2">
        <v>163</v>
      </c>
      <c r="B164" s="38">
        <v>45723</v>
      </c>
      <c r="C164" s="15" t="s">
        <v>31</v>
      </c>
      <c r="D164" s="4" t="s">
        <v>194</v>
      </c>
      <c r="E164" s="2" t="s">
        <v>13</v>
      </c>
      <c r="F164" s="10">
        <v>5</v>
      </c>
      <c r="G164" s="11" t="s">
        <v>18</v>
      </c>
      <c r="H164" s="2" t="s">
        <v>19</v>
      </c>
      <c r="I164" s="2">
        <v>76.2</v>
      </c>
      <c r="J164" s="2">
        <v>19</v>
      </c>
      <c r="K164" s="2">
        <f t="shared" si="4"/>
        <v>14.48</v>
      </c>
      <c r="L164" s="2">
        <f t="shared" si="5"/>
        <v>5.79</v>
      </c>
    </row>
    <row r="165" spans="1:12" x14ac:dyDescent="0.3">
      <c r="A165" s="7">
        <v>164</v>
      </c>
      <c r="B165" s="39">
        <v>45675</v>
      </c>
      <c r="C165" s="15" t="s">
        <v>31</v>
      </c>
      <c r="D165" s="9" t="s">
        <v>195</v>
      </c>
      <c r="E165" s="7" t="s">
        <v>46</v>
      </c>
      <c r="F165" s="5">
        <v>4</v>
      </c>
      <c r="G165" s="6" t="s">
        <v>14</v>
      </c>
      <c r="H165" s="7" t="s">
        <v>15</v>
      </c>
      <c r="I165" s="7">
        <v>21.8</v>
      </c>
      <c r="J165" s="7">
        <v>24</v>
      </c>
      <c r="K165" s="7">
        <f t="shared" si="4"/>
        <v>5.23</v>
      </c>
      <c r="L165" s="7">
        <f t="shared" si="5"/>
        <v>2.09</v>
      </c>
    </row>
    <row r="166" spans="1:12" x14ac:dyDescent="0.3">
      <c r="A166" s="2">
        <v>165</v>
      </c>
      <c r="B166" s="38">
        <v>45786</v>
      </c>
      <c r="C166" s="8" t="s">
        <v>16</v>
      </c>
      <c r="D166" s="4" t="s">
        <v>196</v>
      </c>
      <c r="E166" s="2" t="s">
        <v>46</v>
      </c>
      <c r="F166" s="19">
        <v>1</v>
      </c>
      <c r="G166" s="14" t="s">
        <v>23</v>
      </c>
      <c r="H166" s="2" t="s">
        <v>15</v>
      </c>
      <c r="I166" s="2">
        <v>4.8</v>
      </c>
      <c r="J166" s="2">
        <v>16</v>
      </c>
      <c r="K166" s="2">
        <f t="shared" si="4"/>
        <v>0.77</v>
      </c>
      <c r="L166" s="2">
        <f t="shared" si="5"/>
        <v>0.31</v>
      </c>
    </row>
    <row r="167" spans="1:12" x14ac:dyDescent="0.3">
      <c r="A167" s="7">
        <v>166</v>
      </c>
      <c r="B167" s="39">
        <v>45733</v>
      </c>
      <c r="C167" s="15" t="s">
        <v>31</v>
      </c>
      <c r="D167" s="9" t="s">
        <v>197</v>
      </c>
      <c r="E167" s="7" t="s">
        <v>36</v>
      </c>
      <c r="F167" s="5">
        <v>4</v>
      </c>
      <c r="G167" s="6" t="s">
        <v>14</v>
      </c>
      <c r="H167" s="7" t="s">
        <v>19</v>
      </c>
      <c r="I167" s="7">
        <v>20.3</v>
      </c>
      <c r="J167" s="7">
        <v>24</v>
      </c>
      <c r="K167" s="7">
        <f t="shared" si="4"/>
        <v>4.87</v>
      </c>
      <c r="L167" s="7">
        <f t="shared" si="5"/>
        <v>1.95</v>
      </c>
    </row>
    <row r="168" spans="1:12" x14ac:dyDescent="0.3">
      <c r="A168" s="2">
        <v>167</v>
      </c>
      <c r="B168" s="38">
        <v>45833</v>
      </c>
      <c r="C168" s="3" t="s">
        <v>11</v>
      </c>
      <c r="D168" s="4" t="s">
        <v>198</v>
      </c>
      <c r="E168" s="2" t="s">
        <v>36</v>
      </c>
      <c r="F168" s="5">
        <v>4</v>
      </c>
      <c r="G168" s="6" t="s">
        <v>14</v>
      </c>
      <c r="H168" s="2" t="s">
        <v>27</v>
      </c>
      <c r="I168" s="2">
        <v>40</v>
      </c>
      <c r="J168" s="2">
        <v>15</v>
      </c>
      <c r="K168" s="2">
        <f t="shared" si="4"/>
        <v>6</v>
      </c>
      <c r="L168" s="2">
        <f t="shared" si="5"/>
        <v>2.4</v>
      </c>
    </row>
    <row r="169" spans="1:12" x14ac:dyDescent="0.3">
      <c r="A169" s="7">
        <v>168</v>
      </c>
      <c r="B169" s="39">
        <v>45740</v>
      </c>
      <c r="C169" s="15" t="s">
        <v>31</v>
      </c>
      <c r="D169" s="9" t="s">
        <v>199</v>
      </c>
      <c r="E169" s="7" t="s">
        <v>44</v>
      </c>
      <c r="F169" s="10">
        <v>5</v>
      </c>
      <c r="G169" s="11" t="s">
        <v>18</v>
      </c>
      <c r="H169" s="7" t="s">
        <v>19</v>
      </c>
      <c r="I169" s="7">
        <v>85.8</v>
      </c>
      <c r="J169" s="7">
        <v>25</v>
      </c>
      <c r="K169" s="7">
        <f t="shared" si="4"/>
        <v>21.45</v>
      </c>
      <c r="L169" s="7">
        <f t="shared" si="5"/>
        <v>8.58</v>
      </c>
    </row>
    <row r="170" spans="1:12" x14ac:dyDescent="0.3">
      <c r="A170" s="2">
        <v>169</v>
      </c>
      <c r="B170" s="38">
        <v>45780</v>
      </c>
      <c r="C170" s="8" t="s">
        <v>16</v>
      </c>
      <c r="D170" s="4" t="s">
        <v>200</v>
      </c>
      <c r="E170" s="2" t="s">
        <v>46</v>
      </c>
      <c r="F170" s="10">
        <v>5</v>
      </c>
      <c r="G170" s="11" t="s">
        <v>18</v>
      </c>
      <c r="H170" s="2" t="s">
        <v>48</v>
      </c>
      <c r="I170" s="2">
        <v>85.1</v>
      </c>
      <c r="J170" s="2">
        <v>13</v>
      </c>
      <c r="K170" s="2">
        <f t="shared" si="4"/>
        <v>11.06</v>
      </c>
      <c r="L170" s="2">
        <f t="shared" si="5"/>
        <v>4.42</v>
      </c>
    </row>
    <row r="171" spans="1:12" x14ac:dyDescent="0.3">
      <c r="A171" s="7">
        <v>170</v>
      </c>
      <c r="B171" s="39">
        <v>45794</v>
      </c>
      <c r="C171" s="8" t="s">
        <v>16</v>
      </c>
      <c r="D171" s="9" t="s">
        <v>201</v>
      </c>
      <c r="E171" s="7" t="s">
        <v>22</v>
      </c>
      <c r="F171" s="5">
        <v>4</v>
      </c>
      <c r="G171" s="6" t="s">
        <v>14</v>
      </c>
      <c r="H171" s="7" t="s">
        <v>19</v>
      </c>
      <c r="I171" s="7">
        <v>36.200000000000003</v>
      </c>
      <c r="J171" s="7">
        <v>12</v>
      </c>
      <c r="K171" s="7">
        <f t="shared" si="4"/>
        <v>4.34</v>
      </c>
      <c r="L171" s="7">
        <f t="shared" si="5"/>
        <v>1.74</v>
      </c>
    </row>
    <row r="172" spans="1:12" x14ac:dyDescent="0.3">
      <c r="A172" s="2">
        <v>171</v>
      </c>
      <c r="B172" s="38">
        <v>45690</v>
      </c>
      <c r="C172" s="15" t="s">
        <v>31</v>
      </c>
      <c r="D172" s="4" t="s">
        <v>202</v>
      </c>
      <c r="E172" s="2" t="s">
        <v>46</v>
      </c>
      <c r="F172" s="10">
        <v>5</v>
      </c>
      <c r="G172" s="11" t="s">
        <v>18</v>
      </c>
      <c r="H172" s="2" t="s">
        <v>15</v>
      </c>
      <c r="I172" s="2">
        <v>49.3</v>
      </c>
      <c r="J172" s="2">
        <v>19</v>
      </c>
      <c r="K172" s="2">
        <f t="shared" si="4"/>
        <v>9.3699999999999992</v>
      </c>
      <c r="L172" s="2">
        <f t="shared" si="5"/>
        <v>3.75</v>
      </c>
    </row>
    <row r="173" spans="1:12" x14ac:dyDescent="0.3">
      <c r="A173" s="7">
        <v>172</v>
      </c>
      <c r="B173" s="39">
        <v>45723</v>
      </c>
      <c r="C173" s="15" t="s">
        <v>31</v>
      </c>
      <c r="D173" s="9" t="s">
        <v>203</v>
      </c>
      <c r="E173" s="7" t="s">
        <v>44</v>
      </c>
      <c r="F173" s="5">
        <v>4</v>
      </c>
      <c r="G173" s="6" t="s">
        <v>14</v>
      </c>
      <c r="H173" s="7" t="s">
        <v>48</v>
      </c>
      <c r="I173" s="7">
        <v>23.1</v>
      </c>
      <c r="J173" s="7">
        <v>22</v>
      </c>
      <c r="K173" s="7">
        <f t="shared" si="4"/>
        <v>5.08</v>
      </c>
      <c r="L173" s="7">
        <f t="shared" si="5"/>
        <v>2.0299999999999998</v>
      </c>
    </row>
    <row r="174" spans="1:12" x14ac:dyDescent="0.3">
      <c r="A174" s="2">
        <v>173</v>
      </c>
      <c r="B174" s="38">
        <v>45768</v>
      </c>
      <c r="C174" s="18" t="s">
        <v>40</v>
      </c>
      <c r="D174" s="4" t="s">
        <v>204</v>
      </c>
      <c r="E174" s="2" t="s">
        <v>22</v>
      </c>
      <c r="F174" s="16">
        <v>3</v>
      </c>
      <c r="G174" s="17" t="s">
        <v>34</v>
      </c>
      <c r="H174" s="2" t="s">
        <v>27</v>
      </c>
      <c r="I174" s="2">
        <v>9.3000000000000007</v>
      </c>
      <c r="J174" s="2">
        <v>22</v>
      </c>
      <c r="K174" s="2">
        <f t="shared" si="4"/>
        <v>2.0499999999999998</v>
      </c>
      <c r="L174" s="2">
        <f t="shared" si="5"/>
        <v>0.82</v>
      </c>
    </row>
    <row r="175" spans="1:12" x14ac:dyDescent="0.3">
      <c r="A175" s="7">
        <v>174</v>
      </c>
      <c r="B175" s="39">
        <v>45732</v>
      </c>
      <c r="C175" s="12" t="s">
        <v>20</v>
      </c>
      <c r="D175" s="9" t="s">
        <v>205</v>
      </c>
      <c r="E175" s="7" t="s">
        <v>29</v>
      </c>
      <c r="F175" s="5">
        <v>4</v>
      </c>
      <c r="G175" s="6" t="s">
        <v>14</v>
      </c>
      <c r="H175" s="7" t="s">
        <v>15</v>
      </c>
      <c r="I175" s="7">
        <v>34</v>
      </c>
      <c r="J175" s="7">
        <v>14</v>
      </c>
      <c r="K175" s="7">
        <f t="shared" si="4"/>
        <v>4.76</v>
      </c>
      <c r="L175" s="7">
        <f t="shared" si="5"/>
        <v>1.9</v>
      </c>
    </row>
    <row r="176" spans="1:12" x14ac:dyDescent="0.3">
      <c r="A176" s="2">
        <v>175</v>
      </c>
      <c r="B176" s="38">
        <v>45762</v>
      </c>
      <c r="C176" s="12" t="s">
        <v>20</v>
      </c>
      <c r="D176" s="4" t="s">
        <v>206</v>
      </c>
      <c r="E176" s="2" t="s">
        <v>13</v>
      </c>
      <c r="F176" s="16">
        <v>3</v>
      </c>
      <c r="G176" s="17" t="s">
        <v>34</v>
      </c>
      <c r="H176" s="2" t="s">
        <v>27</v>
      </c>
      <c r="I176" s="2">
        <v>10.9</v>
      </c>
      <c r="J176" s="2">
        <v>14</v>
      </c>
      <c r="K176" s="2">
        <f t="shared" si="4"/>
        <v>1.53</v>
      </c>
      <c r="L176" s="2">
        <f t="shared" si="5"/>
        <v>0.61</v>
      </c>
    </row>
    <row r="177" spans="1:12" x14ac:dyDescent="0.3">
      <c r="A177" s="7">
        <v>176</v>
      </c>
      <c r="B177" s="39">
        <v>45826</v>
      </c>
      <c r="C177" s="12" t="s">
        <v>20</v>
      </c>
      <c r="D177" s="9" t="s">
        <v>207</v>
      </c>
      <c r="E177" s="7" t="s">
        <v>44</v>
      </c>
      <c r="F177" s="10">
        <v>5</v>
      </c>
      <c r="G177" s="11" t="s">
        <v>18</v>
      </c>
      <c r="H177" s="7" t="s">
        <v>24</v>
      </c>
      <c r="I177" s="7">
        <v>88.7</v>
      </c>
      <c r="J177" s="7">
        <v>19</v>
      </c>
      <c r="K177" s="7">
        <f t="shared" si="4"/>
        <v>16.850000000000001</v>
      </c>
      <c r="L177" s="7">
        <f t="shared" si="5"/>
        <v>6.74</v>
      </c>
    </row>
    <row r="178" spans="1:12" x14ac:dyDescent="0.3">
      <c r="A178" s="2">
        <v>177</v>
      </c>
      <c r="B178" s="38">
        <v>45814</v>
      </c>
      <c r="C178" s="15" t="s">
        <v>31</v>
      </c>
      <c r="D178" s="4" t="s">
        <v>208</v>
      </c>
      <c r="E178" s="2" t="s">
        <v>22</v>
      </c>
      <c r="F178" s="10">
        <v>5</v>
      </c>
      <c r="G178" s="11" t="s">
        <v>18</v>
      </c>
      <c r="H178" s="2" t="s">
        <v>15</v>
      </c>
      <c r="I178" s="2">
        <v>55.9</v>
      </c>
      <c r="J178" s="2">
        <v>19</v>
      </c>
      <c r="K178" s="2">
        <f t="shared" si="4"/>
        <v>10.62</v>
      </c>
      <c r="L178" s="2">
        <f t="shared" si="5"/>
        <v>4.25</v>
      </c>
    </row>
    <row r="179" spans="1:12" x14ac:dyDescent="0.3">
      <c r="A179" s="7">
        <v>178</v>
      </c>
      <c r="B179" s="39">
        <v>45698</v>
      </c>
      <c r="C179" s="12" t="s">
        <v>20</v>
      </c>
      <c r="D179" s="9" t="s">
        <v>209</v>
      </c>
      <c r="E179" s="7" t="s">
        <v>36</v>
      </c>
      <c r="F179" s="10">
        <v>5</v>
      </c>
      <c r="G179" s="11" t="s">
        <v>18</v>
      </c>
      <c r="H179" s="7" t="s">
        <v>15</v>
      </c>
      <c r="I179" s="7">
        <v>102.1</v>
      </c>
      <c r="J179" s="7">
        <v>17</v>
      </c>
      <c r="K179" s="7">
        <f t="shared" si="4"/>
        <v>17.36</v>
      </c>
      <c r="L179" s="7">
        <f t="shared" si="5"/>
        <v>6.94</v>
      </c>
    </row>
    <row r="180" spans="1:12" x14ac:dyDescent="0.3">
      <c r="A180" s="2">
        <v>179</v>
      </c>
      <c r="B180" s="38">
        <v>45730</v>
      </c>
      <c r="C180" s="8" t="s">
        <v>16</v>
      </c>
      <c r="D180" s="4" t="s">
        <v>210</v>
      </c>
      <c r="E180" s="2" t="s">
        <v>46</v>
      </c>
      <c r="F180" s="5">
        <v>4</v>
      </c>
      <c r="G180" s="6" t="s">
        <v>14</v>
      </c>
      <c r="H180" s="2" t="s">
        <v>24</v>
      </c>
      <c r="I180" s="2">
        <v>21.5</v>
      </c>
      <c r="J180" s="2">
        <v>12</v>
      </c>
      <c r="K180" s="2">
        <f t="shared" si="4"/>
        <v>2.58</v>
      </c>
      <c r="L180" s="2">
        <f t="shared" si="5"/>
        <v>1.03</v>
      </c>
    </row>
    <row r="181" spans="1:12" x14ac:dyDescent="0.3">
      <c r="A181" s="7">
        <v>180</v>
      </c>
      <c r="B181" s="39">
        <v>45755</v>
      </c>
      <c r="C181" s="18" t="s">
        <v>40</v>
      </c>
      <c r="D181" s="9" t="s">
        <v>211</v>
      </c>
      <c r="E181" s="7" t="s">
        <v>22</v>
      </c>
      <c r="F181" s="13">
        <v>2</v>
      </c>
      <c r="G181" s="14" t="s">
        <v>23</v>
      </c>
      <c r="H181" s="7" t="s">
        <v>19</v>
      </c>
      <c r="I181" s="7">
        <v>7.3</v>
      </c>
      <c r="J181" s="7">
        <v>20</v>
      </c>
      <c r="K181" s="7">
        <f t="shared" si="4"/>
        <v>1.46</v>
      </c>
      <c r="L181" s="7">
        <f t="shared" si="5"/>
        <v>0.57999999999999996</v>
      </c>
    </row>
    <row r="182" spans="1:12" x14ac:dyDescent="0.3">
      <c r="A182" s="2">
        <v>181</v>
      </c>
      <c r="B182" s="38">
        <v>45831</v>
      </c>
      <c r="C182" s="15" t="s">
        <v>31</v>
      </c>
      <c r="D182" s="4" t="s">
        <v>212</v>
      </c>
      <c r="E182" s="2" t="s">
        <v>46</v>
      </c>
      <c r="F182" s="5">
        <v>4</v>
      </c>
      <c r="G182" s="6" t="s">
        <v>14</v>
      </c>
      <c r="H182" s="2" t="s">
        <v>19</v>
      </c>
      <c r="I182" s="2">
        <v>38</v>
      </c>
      <c r="J182" s="2">
        <v>27</v>
      </c>
      <c r="K182" s="2">
        <f t="shared" si="4"/>
        <v>10.26</v>
      </c>
      <c r="L182" s="2">
        <f t="shared" si="5"/>
        <v>4.0999999999999996</v>
      </c>
    </row>
    <row r="183" spans="1:12" x14ac:dyDescent="0.3">
      <c r="A183" s="7">
        <v>182</v>
      </c>
      <c r="B183" s="39">
        <v>45831</v>
      </c>
      <c r="C183" s="3" t="s">
        <v>11</v>
      </c>
      <c r="D183" s="9" t="s">
        <v>213</v>
      </c>
      <c r="E183" s="7" t="s">
        <v>36</v>
      </c>
      <c r="F183" s="5">
        <v>4</v>
      </c>
      <c r="G183" s="6" t="s">
        <v>14</v>
      </c>
      <c r="H183" s="7" t="s">
        <v>24</v>
      </c>
      <c r="I183" s="7">
        <v>40.1</v>
      </c>
      <c r="J183" s="7">
        <v>10</v>
      </c>
      <c r="K183" s="7">
        <f t="shared" si="4"/>
        <v>4.01</v>
      </c>
      <c r="L183" s="7">
        <f t="shared" si="5"/>
        <v>1.6</v>
      </c>
    </row>
    <row r="184" spans="1:12" x14ac:dyDescent="0.3">
      <c r="A184" s="2">
        <v>183</v>
      </c>
      <c r="B184" s="38">
        <v>45812</v>
      </c>
      <c r="C184" s="15" t="s">
        <v>31</v>
      </c>
      <c r="D184" s="4" t="s">
        <v>214</v>
      </c>
      <c r="E184" s="2" t="s">
        <v>29</v>
      </c>
      <c r="F184" s="10">
        <v>5</v>
      </c>
      <c r="G184" s="11" t="s">
        <v>18</v>
      </c>
      <c r="H184" s="2" t="s">
        <v>15</v>
      </c>
      <c r="I184" s="2">
        <v>143.19999999999999</v>
      </c>
      <c r="J184" s="2">
        <v>19</v>
      </c>
      <c r="K184" s="2">
        <f t="shared" si="4"/>
        <v>27.21</v>
      </c>
      <c r="L184" s="2">
        <f t="shared" si="5"/>
        <v>10.88</v>
      </c>
    </row>
    <row r="185" spans="1:12" x14ac:dyDescent="0.3">
      <c r="A185" s="7">
        <v>184</v>
      </c>
      <c r="B185" s="39">
        <v>45816</v>
      </c>
      <c r="C185" s="18" t="s">
        <v>40</v>
      </c>
      <c r="D185" s="9" t="s">
        <v>215</v>
      </c>
      <c r="E185" s="7" t="s">
        <v>13</v>
      </c>
      <c r="F185" s="16">
        <v>3</v>
      </c>
      <c r="G185" s="17" t="s">
        <v>34</v>
      </c>
      <c r="H185" s="7" t="s">
        <v>27</v>
      </c>
      <c r="I185" s="7">
        <v>20</v>
      </c>
      <c r="J185" s="7">
        <v>19</v>
      </c>
      <c r="K185" s="7">
        <f t="shared" si="4"/>
        <v>3.8</v>
      </c>
      <c r="L185" s="7">
        <f t="shared" si="5"/>
        <v>1.52</v>
      </c>
    </row>
    <row r="186" spans="1:12" x14ac:dyDescent="0.3">
      <c r="A186" s="2">
        <v>185</v>
      </c>
      <c r="B186" s="38">
        <v>45828</v>
      </c>
      <c r="C186" s="18" t="s">
        <v>40</v>
      </c>
      <c r="D186" s="4" t="s">
        <v>216</v>
      </c>
      <c r="E186" s="2" t="s">
        <v>26</v>
      </c>
      <c r="F186" s="5">
        <v>4</v>
      </c>
      <c r="G186" s="6" t="s">
        <v>14</v>
      </c>
      <c r="H186" s="2" t="s">
        <v>15</v>
      </c>
      <c r="I186" s="2">
        <v>34.9</v>
      </c>
      <c r="J186" s="2">
        <v>16</v>
      </c>
      <c r="K186" s="2">
        <f t="shared" si="4"/>
        <v>5.58</v>
      </c>
      <c r="L186" s="2">
        <f t="shared" si="5"/>
        <v>2.23</v>
      </c>
    </row>
    <row r="187" spans="1:12" x14ac:dyDescent="0.3">
      <c r="A187" s="7">
        <v>186</v>
      </c>
      <c r="B187" s="39">
        <v>45770</v>
      </c>
      <c r="C187" s="12" t="s">
        <v>20</v>
      </c>
      <c r="D187" s="9" t="s">
        <v>217</v>
      </c>
      <c r="E187" s="7" t="s">
        <v>36</v>
      </c>
      <c r="F187" s="10">
        <v>5</v>
      </c>
      <c r="G187" s="11" t="s">
        <v>18</v>
      </c>
      <c r="H187" s="7" t="s">
        <v>48</v>
      </c>
      <c r="I187" s="7">
        <v>45.5</v>
      </c>
      <c r="J187" s="7">
        <v>17</v>
      </c>
      <c r="K187" s="7">
        <f t="shared" si="4"/>
        <v>7.74</v>
      </c>
      <c r="L187" s="7">
        <f t="shared" si="5"/>
        <v>3.1</v>
      </c>
    </row>
    <row r="188" spans="1:12" x14ac:dyDescent="0.3">
      <c r="A188" s="2">
        <v>187</v>
      </c>
      <c r="B188" s="38">
        <v>45707</v>
      </c>
      <c r="C188" s="12" t="s">
        <v>20</v>
      </c>
      <c r="D188" s="4" t="s">
        <v>218</v>
      </c>
      <c r="E188" s="2" t="s">
        <v>22</v>
      </c>
      <c r="F188" s="16">
        <v>3</v>
      </c>
      <c r="G188" s="17" t="s">
        <v>34</v>
      </c>
      <c r="H188" s="2" t="s">
        <v>24</v>
      </c>
      <c r="I188" s="2">
        <v>12.8</v>
      </c>
      <c r="J188" s="2">
        <v>14</v>
      </c>
      <c r="K188" s="2">
        <f t="shared" si="4"/>
        <v>1.79</v>
      </c>
      <c r="L188" s="2">
        <f t="shared" si="5"/>
        <v>0.72</v>
      </c>
    </row>
    <row r="189" spans="1:12" x14ac:dyDescent="0.3">
      <c r="A189" s="7">
        <v>188</v>
      </c>
      <c r="B189" s="39">
        <v>45755</v>
      </c>
      <c r="C189" s="18" t="s">
        <v>40</v>
      </c>
      <c r="D189" s="9" t="s">
        <v>219</v>
      </c>
      <c r="E189" s="7" t="s">
        <v>36</v>
      </c>
      <c r="F189" s="5">
        <v>4</v>
      </c>
      <c r="G189" s="6" t="s">
        <v>14</v>
      </c>
      <c r="H189" s="7" t="s">
        <v>27</v>
      </c>
      <c r="I189" s="7">
        <v>56.7</v>
      </c>
      <c r="J189" s="7">
        <v>16</v>
      </c>
      <c r="K189" s="7">
        <f t="shared" si="4"/>
        <v>9.07</v>
      </c>
      <c r="L189" s="7">
        <f t="shared" si="5"/>
        <v>3.63</v>
      </c>
    </row>
    <row r="190" spans="1:12" x14ac:dyDescent="0.3">
      <c r="A190" s="2">
        <v>189</v>
      </c>
      <c r="B190" s="38">
        <v>45744</v>
      </c>
      <c r="C190" s="12" t="s">
        <v>20</v>
      </c>
      <c r="D190" s="4" t="s">
        <v>220</v>
      </c>
      <c r="E190" s="2" t="s">
        <v>44</v>
      </c>
      <c r="F190" s="5">
        <v>4</v>
      </c>
      <c r="G190" s="6" t="s">
        <v>14</v>
      </c>
      <c r="H190" s="2" t="s">
        <v>19</v>
      </c>
      <c r="I190" s="2">
        <v>32.4</v>
      </c>
      <c r="J190" s="2">
        <v>18</v>
      </c>
      <c r="K190" s="2">
        <f t="shared" si="4"/>
        <v>5.83</v>
      </c>
      <c r="L190" s="2">
        <f t="shared" si="5"/>
        <v>2.33</v>
      </c>
    </row>
    <row r="191" spans="1:12" x14ac:dyDescent="0.3">
      <c r="A191" s="7">
        <v>190</v>
      </c>
      <c r="B191" s="39">
        <v>45708</v>
      </c>
      <c r="C191" s="15" t="s">
        <v>31</v>
      </c>
      <c r="D191" s="9" t="s">
        <v>221</v>
      </c>
      <c r="E191" s="7" t="s">
        <v>22</v>
      </c>
      <c r="F191" s="10">
        <v>5</v>
      </c>
      <c r="G191" s="11" t="s">
        <v>18</v>
      </c>
      <c r="H191" s="7" t="s">
        <v>48</v>
      </c>
      <c r="I191" s="7">
        <v>49.8</v>
      </c>
      <c r="J191" s="7">
        <v>28</v>
      </c>
      <c r="K191" s="7">
        <f t="shared" si="4"/>
        <v>13.94</v>
      </c>
      <c r="L191" s="7">
        <f t="shared" si="5"/>
        <v>5.58</v>
      </c>
    </row>
    <row r="192" spans="1:12" x14ac:dyDescent="0.3">
      <c r="A192" s="2">
        <v>191</v>
      </c>
      <c r="B192" s="38">
        <v>45746</v>
      </c>
      <c r="C192" s="8" t="s">
        <v>16</v>
      </c>
      <c r="D192" s="4" t="s">
        <v>222</v>
      </c>
      <c r="E192" s="2" t="s">
        <v>13</v>
      </c>
      <c r="F192" s="5">
        <v>4</v>
      </c>
      <c r="G192" s="6" t="s">
        <v>14</v>
      </c>
      <c r="H192" s="2" t="s">
        <v>15</v>
      </c>
      <c r="I192" s="2">
        <v>32.4</v>
      </c>
      <c r="J192" s="2">
        <v>11</v>
      </c>
      <c r="K192" s="2">
        <f t="shared" si="4"/>
        <v>3.56</v>
      </c>
      <c r="L192" s="2">
        <f t="shared" si="5"/>
        <v>1.42</v>
      </c>
    </row>
    <row r="193" spans="1:12" x14ac:dyDescent="0.3">
      <c r="A193" s="7">
        <v>192</v>
      </c>
      <c r="B193" s="39">
        <v>45659</v>
      </c>
      <c r="C193" s="15" t="s">
        <v>31</v>
      </c>
      <c r="D193" s="9" t="s">
        <v>223</v>
      </c>
      <c r="E193" s="7" t="s">
        <v>46</v>
      </c>
      <c r="F193" s="16">
        <v>3</v>
      </c>
      <c r="G193" s="17" t="s">
        <v>34</v>
      </c>
      <c r="H193" s="7" t="s">
        <v>27</v>
      </c>
      <c r="I193" s="7">
        <v>10.6</v>
      </c>
      <c r="J193" s="7">
        <v>22</v>
      </c>
      <c r="K193" s="7">
        <f t="shared" si="4"/>
        <v>2.33</v>
      </c>
      <c r="L193" s="7">
        <f t="shared" si="5"/>
        <v>0.93</v>
      </c>
    </row>
    <row r="194" spans="1:12" x14ac:dyDescent="0.3">
      <c r="A194" s="2">
        <v>193</v>
      </c>
      <c r="B194" s="38">
        <v>45828</v>
      </c>
      <c r="C194" s="15" t="s">
        <v>31</v>
      </c>
      <c r="D194" s="4" t="s">
        <v>224</v>
      </c>
      <c r="E194" s="2" t="s">
        <v>29</v>
      </c>
      <c r="F194" s="5">
        <v>4</v>
      </c>
      <c r="G194" s="6" t="s">
        <v>14</v>
      </c>
      <c r="H194" s="2" t="s">
        <v>48</v>
      </c>
      <c r="I194" s="2">
        <v>53.4</v>
      </c>
      <c r="J194" s="2">
        <v>26</v>
      </c>
      <c r="K194" s="2">
        <f t="shared" ref="K194:K257" si="6">ROUND(I194*J194/100,2)</f>
        <v>13.88</v>
      </c>
      <c r="L194" s="2">
        <f t="shared" ref="L194:L257" si="7">ROUND(K194*0.4,2)</f>
        <v>5.55</v>
      </c>
    </row>
    <row r="195" spans="1:12" x14ac:dyDescent="0.3">
      <c r="A195" s="7">
        <v>194</v>
      </c>
      <c r="B195" s="39">
        <v>45748</v>
      </c>
      <c r="C195" s="18" t="s">
        <v>40</v>
      </c>
      <c r="D195" s="9" t="s">
        <v>225</v>
      </c>
      <c r="E195" s="7" t="s">
        <v>13</v>
      </c>
      <c r="F195" s="5">
        <v>4</v>
      </c>
      <c r="G195" s="6" t="s">
        <v>14</v>
      </c>
      <c r="H195" s="7" t="s">
        <v>48</v>
      </c>
      <c r="I195" s="7">
        <v>25.2</v>
      </c>
      <c r="J195" s="7">
        <v>18</v>
      </c>
      <c r="K195" s="7">
        <f t="shared" si="6"/>
        <v>4.54</v>
      </c>
      <c r="L195" s="7">
        <f t="shared" si="7"/>
        <v>1.82</v>
      </c>
    </row>
    <row r="196" spans="1:12" x14ac:dyDescent="0.3">
      <c r="A196" s="2">
        <v>195</v>
      </c>
      <c r="B196" s="38">
        <v>45835</v>
      </c>
      <c r="C196" s="3" t="s">
        <v>11</v>
      </c>
      <c r="D196" s="4" t="s">
        <v>226</v>
      </c>
      <c r="E196" s="2" t="s">
        <v>36</v>
      </c>
      <c r="F196" s="16">
        <v>3</v>
      </c>
      <c r="G196" s="17" t="s">
        <v>34</v>
      </c>
      <c r="H196" s="2" t="s">
        <v>48</v>
      </c>
      <c r="I196" s="2">
        <v>21.8</v>
      </c>
      <c r="J196" s="2">
        <v>12</v>
      </c>
      <c r="K196" s="2">
        <f t="shared" si="6"/>
        <v>2.62</v>
      </c>
      <c r="L196" s="2">
        <f t="shared" si="7"/>
        <v>1.05</v>
      </c>
    </row>
    <row r="197" spans="1:12" x14ac:dyDescent="0.3">
      <c r="A197" s="7">
        <v>196</v>
      </c>
      <c r="B197" s="39">
        <v>45733</v>
      </c>
      <c r="C197" s="15" t="s">
        <v>31</v>
      </c>
      <c r="D197" s="9" t="s">
        <v>227</v>
      </c>
      <c r="E197" s="7" t="s">
        <v>46</v>
      </c>
      <c r="F197" s="13">
        <v>2</v>
      </c>
      <c r="G197" s="14" t="s">
        <v>23</v>
      </c>
      <c r="H197" s="7" t="s">
        <v>15</v>
      </c>
      <c r="I197" s="7">
        <v>7.7</v>
      </c>
      <c r="J197" s="7">
        <v>21</v>
      </c>
      <c r="K197" s="7">
        <f t="shared" si="6"/>
        <v>1.62</v>
      </c>
      <c r="L197" s="7">
        <f t="shared" si="7"/>
        <v>0.65</v>
      </c>
    </row>
    <row r="198" spans="1:12" x14ac:dyDescent="0.3">
      <c r="A198" s="2">
        <v>197</v>
      </c>
      <c r="B198" s="38">
        <v>45707</v>
      </c>
      <c r="C198" s="12" t="s">
        <v>20</v>
      </c>
      <c r="D198" s="4" t="s">
        <v>228</v>
      </c>
      <c r="E198" s="2" t="s">
        <v>29</v>
      </c>
      <c r="F198" s="5">
        <v>4</v>
      </c>
      <c r="G198" s="6" t="s">
        <v>14</v>
      </c>
      <c r="H198" s="2" t="s">
        <v>24</v>
      </c>
      <c r="I198" s="2">
        <v>29.4</v>
      </c>
      <c r="J198" s="2">
        <v>15</v>
      </c>
      <c r="K198" s="2">
        <f t="shared" si="6"/>
        <v>4.41</v>
      </c>
      <c r="L198" s="2">
        <f t="shared" si="7"/>
        <v>1.76</v>
      </c>
    </row>
    <row r="199" spans="1:12" x14ac:dyDescent="0.3">
      <c r="A199" s="7">
        <v>198</v>
      </c>
      <c r="B199" s="39">
        <v>45828</v>
      </c>
      <c r="C199" s="12" t="s">
        <v>20</v>
      </c>
      <c r="D199" s="9" t="s">
        <v>229</v>
      </c>
      <c r="E199" s="7" t="s">
        <v>36</v>
      </c>
      <c r="F199" s="10">
        <v>5</v>
      </c>
      <c r="G199" s="11" t="s">
        <v>18</v>
      </c>
      <c r="H199" s="7" t="s">
        <v>27</v>
      </c>
      <c r="I199" s="7">
        <v>78.599999999999994</v>
      </c>
      <c r="J199" s="7">
        <v>19</v>
      </c>
      <c r="K199" s="7">
        <f t="shared" si="6"/>
        <v>14.93</v>
      </c>
      <c r="L199" s="7">
        <f t="shared" si="7"/>
        <v>5.97</v>
      </c>
    </row>
    <row r="200" spans="1:12" x14ac:dyDescent="0.3">
      <c r="A200" s="2">
        <v>199</v>
      </c>
      <c r="B200" s="38">
        <v>45828</v>
      </c>
      <c r="C200" s="15" t="s">
        <v>31</v>
      </c>
      <c r="D200" s="4" t="s">
        <v>230</v>
      </c>
      <c r="E200" s="2" t="s">
        <v>36</v>
      </c>
      <c r="F200" s="10">
        <v>5</v>
      </c>
      <c r="G200" s="11" t="s">
        <v>18</v>
      </c>
      <c r="H200" s="2" t="s">
        <v>48</v>
      </c>
      <c r="I200" s="2">
        <v>95.4</v>
      </c>
      <c r="J200" s="2">
        <v>20</v>
      </c>
      <c r="K200" s="2">
        <f t="shared" si="6"/>
        <v>19.079999999999998</v>
      </c>
      <c r="L200" s="2">
        <f t="shared" si="7"/>
        <v>7.63</v>
      </c>
    </row>
    <row r="201" spans="1:12" x14ac:dyDescent="0.3">
      <c r="A201" s="7">
        <v>200</v>
      </c>
      <c r="B201" s="39">
        <v>45701</v>
      </c>
      <c r="C201" s="18" t="s">
        <v>40</v>
      </c>
      <c r="D201" s="9" t="s">
        <v>231</v>
      </c>
      <c r="E201" s="7" t="s">
        <v>44</v>
      </c>
      <c r="F201" s="10">
        <v>5</v>
      </c>
      <c r="G201" s="11" t="s">
        <v>18</v>
      </c>
      <c r="H201" s="7" t="s">
        <v>27</v>
      </c>
      <c r="I201" s="7">
        <v>131.69999999999999</v>
      </c>
      <c r="J201" s="7">
        <v>12</v>
      </c>
      <c r="K201" s="7">
        <f t="shared" si="6"/>
        <v>15.8</v>
      </c>
      <c r="L201" s="7">
        <f t="shared" si="7"/>
        <v>6.32</v>
      </c>
    </row>
    <row r="202" spans="1:12" x14ac:dyDescent="0.3">
      <c r="A202" s="2">
        <v>201</v>
      </c>
      <c r="B202" s="38">
        <v>45821</v>
      </c>
      <c r="C202" s="15" t="s">
        <v>31</v>
      </c>
      <c r="D202" s="4" t="s">
        <v>232</v>
      </c>
      <c r="E202" s="2" t="s">
        <v>46</v>
      </c>
      <c r="F202" s="10">
        <v>5</v>
      </c>
      <c r="G202" s="11" t="s">
        <v>18</v>
      </c>
      <c r="H202" s="2" t="s">
        <v>48</v>
      </c>
      <c r="I202" s="2">
        <v>138.1</v>
      </c>
      <c r="J202" s="2">
        <v>26</v>
      </c>
      <c r="K202" s="2">
        <f t="shared" si="6"/>
        <v>35.909999999999997</v>
      </c>
      <c r="L202" s="2">
        <f t="shared" si="7"/>
        <v>14.36</v>
      </c>
    </row>
    <row r="203" spans="1:12" x14ac:dyDescent="0.3">
      <c r="A203" s="7">
        <v>202</v>
      </c>
      <c r="B203" s="39">
        <v>45724</v>
      </c>
      <c r="C203" s="15" t="s">
        <v>31</v>
      </c>
      <c r="D203" s="9" t="s">
        <v>233</v>
      </c>
      <c r="E203" s="7" t="s">
        <v>29</v>
      </c>
      <c r="F203" s="5">
        <v>4</v>
      </c>
      <c r="G203" s="6" t="s">
        <v>14</v>
      </c>
      <c r="H203" s="7" t="s">
        <v>27</v>
      </c>
      <c r="I203" s="7">
        <v>30.9</v>
      </c>
      <c r="J203" s="7">
        <v>26</v>
      </c>
      <c r="K203" s="7">
        <f t="shared" si="6"/>
        <v>8.0299999999999994</v>
      </c>
      <c r="L203" s="7">
        <f t="shared" si="7"/>
        <v>3.21</v>
      </c>
    </row>
    <row r="204" spans="1:12" x14ac:dyDescent="0.3">
      <c r="A204" s="2">
        <v>203</v>
      </c>
      <c r="B204" s="38">
        <v>45826</v>
      </c>
      <c r="C204" s="8" t="s">
        <v>16</v>
      </c>
      <c r="D204" s="4" t="s">
        <v>234</v>
      </c>
      <c r="E204" s="2" t="s">
        <v>36</v>
      </c>
      <c r="F204" s="16">
        <v>3</v>
      </c>
      <c r="G204" s="17" t="s">
        <v>34</v>
      </c>
      <c r="H204" s="2" t="s">
        <v>27</v>
      </c>
      <c r="I204" s="2">
        <v>21.9</v>
      </c>
      <c r="J204" s="2">
        <v>12</v>
      </c>
      <c r="K204" s="2">
        <f t="shared" si="6"/>
        <v>2.63</v>
      </c>
      <c r="L204" s="2">
        <f t="shared" si="7"/>
        <v>1.05</v>
      </c>
    </row>
    <row r="205" spans="1:12" x14ac:dyDescent="0.3">
      <c r="A205" s="7">
        <v>204</v>
      </c>
      <c r="B205" s="39">
        <v>45764</v>
      </c>
      <c r="C205" s="18" t="s">
        <v>40</v>
      </c>
      <c r="D205" s="9" t="s">
        <v>235</v>
      </c>
      <c r="E205" s="7" t="s">
        <v>36</v>
      </c>
      <c r="F205" s="5">
        <v>4</v>
      </c>
      <c r="G205" s="6" t="s">
        <v>14</v>
      </c>
      <c r="H205" s="7" t="s">
        <v>24</v>
      </c>
      <c r="I205" s="7">
        <v>40.1</v>
      </c>
      <c r="J205" s="7">
        <v>15</v>
      </c>
      <c r="K205" s="7">
        <f t="shared" si="6"/>
        <v>6.02</v>
      </c>
      <c r="L205" s="7">
        <f t="shared" si="7"/>
        <v>2.41</v>
      </c>
    </row>
    <row r="206" spans="1:12" x14ac:dyDescent="0.3">
      <c r="A206" s="2">
        <v>205</v>
      </c>
      <c r="B206" s="38">
        <v>45838</v>
      </c>
      <c r="C206" s="15" t="s">
        <v>31</v>
      </c>
      <c r="D206" s="4" t="s">
        <v>236</v>
      </c>
      <c r="E206" s="2" t="s">
        <v>29</v>
      </c>
      <c r="F206" s="5">
        <v>4</v>
      </c>
      <c r="G206" s="6" t="s">
        <v>14</v>
      </c>
      <c r="H206" s="2" t="s">
        <v>19</v>
      </c>
      <c r="I206" s="2">
        <v>32.700000000000003</v>
      </c>
      <c r="J206" s="2">
        <v>19</v>
      </c>
      <c r="K206" s="2">
        <f t="shared" si="6"/>
        <v>6.21</v>
      </c>
      <c r="L206" s="2">
        <f t="shared" si="7"/>
        <v>2.48</v>
      </c>
    </row>
    <row r="207" spans="1:12" x14ac:dyDescent="0.3">
      <c r="A207" s="7">
        <v>206</v>
      </c>
      <c r="B207" s="39">
        <v>45717</v>
      </c>
      <c r="C207" s="18" t="s">
        <v>40</v>
      </c>
      <c r="D207" s="9" t="s">
        <v>237</v>
      </c>
      <c r="E207" s="7" t="s">
        <v>13</v>
      </c>
      <c r="F207" s="10">
        <v>5</v>
      </c>
      <c r="G207" s="11" t="s">
        <v>18</v>
      </c>
      <c r="H207" s="7" t="s">
        <v>27</v>
      </c>
      <c r="I207" s="7">
        <v>54.4</v>
      </c>
      <c r="J207" s="7">
        <v>16</v>
      </c>
      <c r="K207" s="7">
        <f t="shared" si="6"/>
        <v>8.6999999999999993</v>
      </c>
      <c r="L207" s="7">
        <f t="shared" si="7"/>
        <v>3.48</v>
      </c>
    </row>
    <row r="208" spans="1:12" x14ac:dyDescent="0.3">
      <c r="A208" s="2">
        <v>207</v>
      </c>
      <c r="B208" s="38">
        <v>45762</v>
      </c>
      <c r="C208" s="12" t="s">
        <v>20</v>
      </c>
      <c r="D208" s="4" t="s">
        <v>238</v>
      </c>
      <c r="E208" s="2" t="s">
        <v>46</v>
      </c>
      <c r="F208" s="10">
        <v>5</v>
      </c>
      <c r="G208" s="11" t="s">
        <v>18</v>
      </c>
      <c r="H208" s="2" t="s">
        <v>24</v>
      </c>
      <c r="I208" s="2">
        <v>87.1</v>
      </c>
      <c r="J208" s="2">
        <v>12</v>
      </c>
      <c r="K208" s="2">
        <f t="shared" si="6"/>
        <v>10.45</v>
      </c>
      <c r="L208" s="2">
        <f t="shared" si="7"/>
        <v>4.18</v>
      </c>
    </row>
    <row r="209" spans="1:12" x14ac:dyDescent="0.3">
      <c r="A209" s="7">
        <v>208</v>
      </c>
      <c r="B209" s="39">
        <v>45746</v>
      </c>
      <c r="C209" s="12" t="s">
        <v>20</v>
      </c>
      <c r="D209" s="9" t="s">
        <v>239</v>
      </c>
      <c r="E209" s="7" t="s">
        <v>13</v>
      </c>
      <c r="F209" s="16">
        <v>3</v>
      </c>
      <c r="G209" s="17" t="s">
        <v>34</v>
      </c>
      <c r="H209" s="7" t="s">
        <v>27</v>
      </c>
      <c r="I209" s="7">
        <v>17.3</v>
      </c>
      <c r="J209" s="7">
        <v>20</v>
      </c>
      <c r="K209" s="7">
        <f t="shared" si="6"/>
        <v>3.46</v>
      </c>
      <c r="L209" s="7">
        <f t="shared" si="7"/>
        <v>1.38</v>
      </c>
    </row>
    <row r="210" spans="1:12" x14ac:dyDescent="0.3">
      <c r="A210" s="2">
        <v>209</v>
      </c>
      <c r="B210" s="38">
        <v>45826</v>
      </c>
      <c r="C210" s="15" t="s">
        <v>31</v>
      </c>
      <c r="D210" s="4" t="s">
        <v>240</v>
      </c>
      <c r="E210" s="2" t="s">
        <v>29</v>
      </c>
      <c r="F210" s="10">
        <v>5</v>
      </c>
      <c r="G210" s="11" t="s">
        <v>18</v>
      </c>
      <c r="H210" s="2" t="s">
        <v>27</v>
      </c>
      <c r="I210" s="2">
        <v>71.599999999999994</v>
      </c>
      <c r="J210" s="2">
        <v>18</v>
      </c>
      <c r="K210" s="2">
        <f t="shared" si="6"/>
        <v>12.89</v>
      </c>
      <c r="L210" s="2">
        <f t="shared" si="7"/>
        <v>5.16</v>
      </c>
    </row>
    <row r="211" spans="1:12" x14ac:dyDescent="0.3">
      <c r="A211" s="7">
        <v>210</v>
      </c>
      <c r="B211" s="39">
        <v>45760</v>
      </c>
      <c r="C211" s="3" t="s">
        <v>11</v>
      </c>
      <c r="D211" s="9" t="s">
        <v>241</v>
      </c>
      <c r="E211" s="7" t="s">
        <v>29</v>
      </c>
      <c r="F211" s="10">
        <v>5</v>
      </c>
      <c r="G211" s="11" t="s">
        <v>18</v>
      </c>
      <c r="H211" s="7" t="s">
        <v>48</v>
      </c>
      <c r="I211" s="7">
        <v>88</v>
      </c>
      <c r="J211" s="7">
        <v>11</v>
      </c>
      <c r="K211" s="7">
        <f t="shared" si="6"/>
        <v>9.68</v>
      </c>
      <c r="L211" s="7">
        <f t="shared" si="7"/>
        <v>3.87</v>
      </c>
    </row>
    <row r="212" spans="1:12" x14ac:dyDescent="0.3">
      <c r="A212" s="2">
        <v>211</v>
      </c>
      <c r="B212" s="38">
        <v>45658</v>
      </c>
      <c r="C212" s="8" t="s">
        <v>16</v>
      </c>
      <c r="D212" s="4" t="s">
        <v>242</v>
      </c>
      <c r="E212" s="2" t="s">
        <v>36</v>
      </c>
      <c r="F212" s="5">
        <v>4</v>
      </c>
      <c r="G212" s="6" t="s">
        <v>14</v>
      </c>
      <c r="H212" s="2" t="s">
        <v>19</v>
      </c>
      <c r="I212" s="2">
        <v>45.3</v>
      </c>
      <c r="J212" s="2">
        <v>14</v>
      </c>
      <c r="K212" s="2">
        <f t="shared" si="6"/>
        <v>6.34</v>
      </c>
      <c r="L212" s="2">
        <f t="shared" si="7"/>
        <v>2.54</v>
      </c>
    </row>
    <row r="213" spans="1:12" x14ac:dyDescent="0.3">
      <c r="A213" s="7">
        <v>212</v>
      </c>
      <c r="B213" s="39">
        <v>45686</v>
      </c>
      <c r="C213" s="8" t="s">
        <v>16</v>
      </c>
      <c r="D213" s="9" t="s">
        <v>243</v>
      </c>
      <c r="E213" s="7" t="s">
        <v>22</v>
      </c>
      <c r="F213" s="16">
        <v>3</v>
      </c>
      <c r="G213" s="17" t="s">
        <v>34</v>
      </c>
      <c r="H213" s="7" t="s">
        <v>24</v>
      </c>
      <c r="I213" s="7">
        <v>8</v>
      </c>
      <c r="J213" s="7">
        <v>12</v>
      </c>
      <c r="K213" s="7">
        <f t="shared" si="6"/>
        <v>0.96</v>
      </c>
      <c r="L213" s="7">
        <f t="shared" si="7"/>
        <v>0.38</v>
      </c>
    </row>
    <row r="214" spans="1:12" x14ac:dyDescent="0.3">
      <c r="A214" s="2">
        <v>213</v>
      </c>
      <c r="B214" s="38">
        <v>45786</v>
      </c>
      <c r="C214" s="18" t="s">
        <v>40</v>
      </c>
      <c r="D214" s="4" t="s">
        <v>244</v>
      </c>
      <c r="E214" s="2" t="s">
        <v>26</v>
      </c>
      <c r="F214" s="5">
        <v>4</v>
      </c>
      <c r="G214" s="6" t="s">
        <v>14</v>
      </c>
      <c r="H214" s="2" t="s">
        <v>19</v>
      </c>
      <c r="I214" s="2">
        <v>40.9</v>
      </c>
      <c r="J214" s="2">
        <v>17</v>
      </c>
      <c r="K214" s="2">
        <f t="shared" si="6"/>
        <v>6.95</v>
      </c>
      <c r="L214" s="2">
        <f t="shared" si="7"/>
        <v>2.78</v>
      </c>
    </row>
    <row r="215" spans="1:12" x14ac:dyDescent="0.3">
      <c r="A215" s="7">
        <v>214</v>
      </c>
      <c r="B215" s="39">
        <v>45794</v>
      </c>
      <c r="C215" s="15" t="s">
        <v>31</v>
      </c>
      <c r="D215" s="9" t="s">
        <v>245</v>
      </c>
      <c r="E215" s="7" t="s">
        <v>26</v>
      </c>
      <c r="F215" s="5">
        <v>4</v>
      </c>
      <c r="G215" s="6" t="s">
        <v>14</v>
      </c>
      <c r="H215" s="7" t="s">
        <v>24</v>
      </c>
      <c r="I215" s="7">
        <v>21.7</v>
      </c>
      <c r="J215" s="7">
        <v>24</v>
      </c>
      <c r="K215" s="7">
        <f t="shared" si="6"/>
        <v>5.21</v>
      </c>
      <c r="L215" s="7">
        <f t="shared" si="7"/>
        <v>2.08</v>
      </c>
    </row>
    <row r="216" spans="1:12" x14ac:dyDescent="0.3">
      <c r="A216" s="2">
        <v>215</v>
      </c>
      <c r="B216" s="38">
        <v>45709</v>
      </c>
      <c r="C216" s="18" t="s">
        <v>40</v>
      </c>
      <c r="D216" s="4" t="s">
        <v>246</v>
      </c>
      <c r="E216" s="2" t="s">
        <v>22</v>
      </c>
      <c r="F216" s="10">
        <v>5</v>
      </c>
      <c r="G216" s="11" t="s">
        <v>18</v>
      </c>
      <c r="H216" s="2" t="s">
        <v>15</v>
      </c>
      <c r="I216" s="2">
        <v>122.8</v>
      </c>
      <c r="J216" s="2">
        <v>17</v>
      </c>
      <c r="K216" s="2">
        <f t="shared" si="6"/>
        <v>20.88</v>
      </c>
      <c r="L216" s="2">
        <f t="shared" si="7"/>
        <v>8.35</v>
      </c>
    </row>
    <row r="217" spans="1:12" x14ac:dyDescent="0.3">
      <c r="A217" s="7">
        <v>216</v>
      </c>
      <c r="B217" s="39">
        <v>45658</v>
      </c>
      <c r="C217" s="8" t="s">
        <v>16</v>
      </c>
      <c r="D217" s="9" t="s">
        <v>247</v>
      </c>
      <c r="E217" s="7" t="s">
        <v>22</v>
      </c>
      <c r="F217" s="10">
        <v>5</v>
      </c>
      <c r="G217" s="11" t="s">
        <v>18</v>
      </c>
      <c r="H217" s="7" t="s">
        <v>19</v>
      </c>
      <c r="I217" s="7">
        <v>121</v>
      </c>
      <c r="J217" s="7">
        <v>15</v>
      </c>
      <c r="K217" s="7">
        <f t="shared" si="6"/>
        <v>18.149999999999999</v>
      </c>
      <c r="L217" s="7">
        <f t="shared" si="7"/>
        <v>7.26</v>
      </c>
    </row>
    <row r="218" spans="1:12" x14ac:dyDescent="0.3">
      <c r="A218" s="2">
        <v>217</v>
      </c>
      <c r="B218" s="38">
        <v>45791</v>
      </c>
      <c r="C218" s="15" t="s">
        <v>31</v>
      </c>
      <c r="D218" s="4" t="s">
        <v>248</v>
      </c>
      <c r="E218" s="2" t="s">
        <v>22</v>
      </c>
      <c r="F218" s="16">
        <v>3</v>
      </c>
      <c r="G218" s="17" t="s">
        <v>34</v>
      </c>
      <c r="H218" s="2" t="s">
        <v>15</v>
      </c>
      <c r="I218" s="2">
        <v>17.3</v>
      </c>
      <c r="J218" s="2">
        <v>28</v>
      </c>
      <c r="K218" s="2">
        <f t="shared" si="6"/>
        <v>4.84</v>
      </c>
      <c r="L218" s="2">
        <f t="shared" si="7"/>
        <v>1.94</v>
      </c>
    </row>
    <row r="219" spans="1:12" x14ac:dyDescent="0.3">
      <c r="A219" s="7">
        <v>218</v>
      </c>
      <c r="B219" s="39">
        <v>45737</v>
      </c>
      <c r="C219" s="18" t="s">
        <v>40</v>
      </c>
      <c r="D219" s="9" t="s">
        <v>249</v>
      </c>
      <c r="E219" s="7" t="s">
        <v>33</v>
      </c>
      <c r="F219" s="10">
        <v>5</v>
      </c>
      <c r="G219" s="11" t="s">
        <v>18</v>
      </c>
      <c r="H219" s="7" t="s">
        <v>24</v>
      </c>
      <c r="I219" s="7">
        <v>143</v>
      </c>
      <c r="J219" s="7">
        <v>19</v>
      </c>
      <c r="K219" s="7">
        <f t="shared" si="6"/>
        <v>27.17</v>
      </c>
      <c r="L219" s="7">
        <f t="shared" si="7"/>
        <v>10.87</v>
      </c>
    </row>
    <row r="220" spans="1:12" x14ac:dyDescent="0.3">
      <c r="A220" s="2">
        <v>219</v>
      </c>
      <c r="B220" s="38">
        <v>45830</v>
      </c>
      <c r="C220" s="18" t="s">
        <v>40</v>
      </c>
      <c r="D220" s="4" t="s">
        <v>250</v>
      </c>
      <c r="E220" s="2" t="s">
        <v>44</v>
      </c>
      <c r="F220" s="10">
        <v>5</v>
      </c>
      <c r="G220" s="11" t="s">
        <v>18</v>
      </c>
      <c r="H220" s="2" t="s">
        <v>19</v>
      </c>
      <c r="I220" s="2">
        <v>115.2</v>
      </c>
      <c r="J220" s="2">
        <v>19</v>
      </c>
      <c r="K220" s="2">
        <f t="shared" si="6"/>
        <v>21.89</v>
      </c>
      <c r="L220" s="2">
        <f t="shared" si="7"/>
        <v>8.76</v>
      </c>
    </row>
    <row r="221" spans="1:12" x14ac:dyDescent="0.3">
      <c r="A221" s="7">
        <v>220</v>
      </c>
      <c r="B221" s="39">
        <v>45700</v>
      </c>
      <c r="C221" s="12" t="s">
        <v>20</v>
      </c>
      <c r="D221" s="9" t="s">
        <v>251</v>
      </c>
      <c r="E221" s="7" t="s">
        <v>22</v>
      </c>
      <c r="F221" s="16">
        <v>3</v>
      </c>
      <c r="G221" s="17" t="s">
        <v>34</v>
      </c>
      <c r="H221" s="7" t="s">
        <v>27</v>
      </c>
      <c r="I221" s="7">
        <v>23.1</v>
      </c>
      <c r="J221" s="7">
        <v>17</v>
      </c>
      <c r="K221" s="7">
        <f t="shared" si="6"/>
        <v>3.93</v>
      </c>
      <c r="L221" s="7">
        <f t="shared" si="7"/>
        <v>1.57</v>
      </c>
    </row>
    <row r="222" spans="1:12" x14ac:dyDescent="0.3">
      <c r="A222" s="2">
        <v>221</v>
      </c>
      <c r="B222" s="38">
        <v>45788</v>
      </c>
      <c r="C222" s="15" t="s">
        <v>31</v>
      </c>
      <c r="D222" s="4" t="s">
        <v>252</v>
      </c>
      <c r="E222" s="2" t="s">
        <v>44</v>
      </c>
      <c r="F222" s="10">
        <v>5</v>
      </c>
      <c r="G222" s="11" t="s">
        <v>18</v>
      </c>
      <c r="H222" s="2" t="s">
        <v>48</v>
      </c>
      <c r="I222" s="2">
        <v>89.7</v>
      </c>
      <c r="J222" s="2">
        <v>18</v>
      </c>
      <c r="K222" s="2">
        <f t="shared" si="6"/>
        <v>16.149999999999999</v>
      </c>
      <c r="L222" s="2">
        <f t="shared" si="7"/>
        <v>6.46</v>
      </c>
    </row>
    <row r="223" spans="1:12" x14ac:dyDescent="0.3">
      <c r="A223" s="7">
        <v>222</v>
      </c>
      <c r="B223" s="39">
        <v>45771</v>
      </c>
      <c r="C223" s="18" t="s">
        <v>40</v>
      </c>
      <c r="D223" s="9" t="s">
        <v>253</v>
      </c>
      <c r="E223" s="7" t="s">
        <v>13</v>
      </c>
      <c r="F223" s="16">
        <v>3</v>
      </c>
      <c r="G223" s="17" t="s">
        <v>34</v>
      </c>
      <c r="H223" s="7" t="s">
        <v>15</v>
      </c>
      <c r="I223" s="7">
        <v>22.7</v>
      </c>
      <c r="J223" s="7">
        <v>12</v>
      </c>
      <c r="K223" s="7">
        <f t="shared" si="6"/>
        <v>2.72</v>
      </c>
      <c r="L223" s="7">
        <f t="shared" si="7"/>
        <v>1.0900000000000001</v>
      </c>
    </row>
    <row r="224" spans="1:12" x14ac:dyDescent="0.3">
      <c r="A224" s="2">
        <v>223</v>
      </c>
      <c r="B224" s="38">
        <v>45710</v>
      </c>
      <c r="C224" s="12" t="s">
        <v>20</v>
      </c>
      <c r="D224" s="4" t="s">
        <v>254</v>
      </c>
      <c r="E224" s="2" t="s">
        <v>22</v>
      </c>
      <c r="F224" s="16">
        <v>3</v>
      </c>
      <c r="G224" s="17" t="s">
        <v>34</v>
      </c>
      <c r="H224" s="2" t="s">
        <v>15</v>
      </c>
      <c r="I224" s="2">
        <v>15.4</v>
      </c>
      <c r="J224" s="2">
        <v>18</v>
      </c>
      <c r="K224" s="2">
        <f t="shared" si="6"/>
        <v>2.77</v>
      </c>
      <c r="L224" s="2">
        <f t="shared" si="7"/>
        <v>1.1100000000000001</v>
      </c>
    </row>
    <row r="225" spans="1:12" x14ac:dyDescent="0.3">
      <c r="A225" s="7">
        <v>224</v>
      </c>
      <c r="B225" s="39">
        <v>45725</v>
      </c>
      <c r="C225" s="8" t="s">
        <v>16</v>
      </c>
      <c r="D225" s="9" t="s">
        <v>255</v>
      </c>
      <c r="E225" s="7" t="s">
        <v>36</v>
      </c>
      <c r="F225" s="10">
        <v>5</v>
      </c>
      <c r="G225" s="11" t="s">
        <v>18</v>
      </c>
      <c r="H225" s="7" t="s">
        <v>24</v>
      </c>
      <c r="I225" s="7">
        <v>75.599999999999994</v>
      </c>
      <c r="J225" s="7">
        <v>11</v>
      </c>
      <c r="K225" s="7">
        <f t="shared" si="6"/>
        <v>8.32</v>
      </c>
      <c r="L225" s="7">
        <f t="shared" si="7"/>
        <v>3.33</v>
      </c>
    </row>
    <row r="226" spans="1:12" x14ac:dyDescent="0.3">
      <c r="A226" s="2">
        <v>225</v>
      </c>
      <c r="B226" s="38">
        <v>45764</v>
      </c>
      <c r="C226" s="12" t="s">
        <v>20</v>
      </c>
      <c r="D226" s="4" t="s">
        <v>256</v>
      </c>
      <c r="E226" s="2" t="s">
        <v>46</v>
      </c>
      <c r="F226" s="5">
        <v>4</v>
      </c>
      <c r="G226" s="6" t="s">
        <v>14</v>
      </c>
      <c r="H226" s="2" t="s">
        <v>48</v>
      </c>
      <c r="I226" s="2">
        <v>30.7</v>
      </c>
      <c r="J226" s="2">
        <v>13</v>
      </c>
      <c r="K226" s="2">
        <f t="shared" si="6"/>
        <v>3.99</v>
      </c>
      <c r="L226" s="2">
        <f t="shared" si="7"/>
        <v>1.6</v>
      </c>
    </row>
    <row r="227" spans="1:12" x14ac:dyDescent="0.3">
      <c r="A227" s="7">
        <v>226</v>
      </c>
      <c r="B227" s="39">
        <v>45777</v>
      </c>
      <c r="C227" s="18" t="s">
        <v>40</v>
      </c>
      <c r="D227" s="9" t="s">
        <v>257</v>
      </c>
      <c r="E227" s="7" t="s">
        <v>46</v>
      </c>
      <c r="F227" s="13">
        <v>2</v>
      </c>
      <c r="G227" s="14" t="s">
        <v>23</v>
      </c>
      <c r="H227" s="7" t="s">
        <v>48</v>
      </c>
      <c r="I227" s="7">
        <v>10</v>
      </c>
      <c r="J227" s="7">
        <v>14</v>
      </c>
      <c r="K227" s="7">
        <f t="shared" si="6"/>
        <v>1.4</v>
      </c>
      <c r="L227" s="7">
        <f t="shared" si="7"/>
        <v>0.56000000000000005</v>
      </c>
    </row>
    <row r="228" spans="1:12" x14ac:dyDescent="0.3">
      <c r="A228" s="2">
        <v>227</v>
      </c>
      <c r="B228" s="38">
        <v>45801</v>
      </c>
      <c r="C228" s="12" t="s">
        <v>20</v>
      </c>
      <c r="D228" s="4" t="s">
        <v>258</v>
      </c>
      <c r="E228" s="2" t="s">
        <v>22</v>
      </c>
      <c r="F228" s="5">
        <v>4</v>
      </c>
      <c r="G228" s="6" t="s">
        <v>14</v>
      </c>
      <c r="H228" s="2" t="s">
        <v>19</v>
      </c>
      <c r="I228" s="2">
        <v>33.1</v>
      </c>
      <c r="J228" s="2">
        <v>16</v>
      </c>
      <c r="K228" s="2">
        <f t="shared" si="6"/>
        <v>5.3</v>
      </c>
      <c r="L228" s="2">
        <f t="shared" si="7"/>
        <v>2.12</v>
      </c>
    </row>
    <row r="229" spans="1:12" x14ac:dyDescent="0.3">
      <c r="A229" s="7">
        <v>228</v>
      </c>
      <c r="B229" s="39">
        <v>45793</v>
      </c>
      <c r="C229" s="15" t="s">
        <v>31</v>
      </c>
      <c r="D229" s="9" t="s">
        <v>259</v>
      </c>
      <c r="E229" s="7" t="s">
        <v>46</v>
      </c>
      <c r="F229" s="5">
        <v>4</v>
      </c>
      <c r="G229" s="6" t="s">
        <v>14</v>
      </c>
      <c r="H229" s="7" t="s">
        <v>24</v>
      </c>
      <c r="I229" s="7">
        <v>26.7</v>
      </c>
      <c r="J229" s="7">
        <v>25</v>
      </c>
      <c r="K229" s="7">
        <f t="shared" si="6"/>
        <v>6.68</v>
      </c>
      <c r="L229" s="7">
        <f t="shared" si="7"/>
        <v>2.67</v>
      </c>
    </row>
    <row r="230" spans="1:12" x14ac:dyDescent="0.3">
      <c r="A230" s="2">
        <v>229</v>
      </c>
      <c r="B230" s="38">
        <v>45818</v>
      </c>
      <c r="C230" s="3" t="s">
        <v>11</v>
      </c>
      <c r="D230" s="4" t="s">
        <v>260</v>
      </c>
      <c r="E230" s="2" t="s">
        <v>29</v>
      </c>
      <c r="F230" s="13">
        <v>2</v>
      </c>
      <c r="G230" s="14" t="s">
        <v>23</v>
      </c>
      <c r="H230" s="2" t="s">
        <v>15</v>
      </c>
      <c r="I230" s="2">
        <v>7.3</v>
      </c>
      <c r="J230" s="2">
        <v>16</v>
      </c>
      <c r="K230" s="2">
        <f t="shared" si="6"/>
        <v>1.17</v>
      </c>
      <c r="L230" s="2">
        <f t="shared" si="7"/>
        <v>0.47</v>
      </c>
    </row>
    <row r="231" spans="1:12" x14ac:dyDescent="0.3">
      <c r="A231" s="7">
        <v>230</v>
      </c>
      <c r="B231" s="39">
        <v>45816</v>
      </c>
      <c r="C231" s="18" t="s">
        <v>40</v>
      </c>
      <c r="D231" s="9" t="s">
        <v>261</v>
      </c>
      <c r="E231" s="7" t="s">
        <v>13</v>
      </c>
      <c r="F231" s="10">
        <v>5</v>
      </c>
      <c r="G231" s="11" t="s">
        <v>18</v>
      </c>
      <c r="H231" s="7" t="s">
        <v>19</v>
      </c>
      <c r="I231" s="7">
        <v>47.9</v>
      </c>
      <c r="J231" s="7">
        <v>22</v>
      </c>
      <c r="K231" s="7">
        <f t="shared" si="6"/>
        <v>10.54</v>
      </c>
      <c r="L231" s="7">
        <f t="shared" si="7"/>
        <v>4.22</v>
      </c>
    </row>
    <row r="232" spans="1:12" x14ac:dyDescent="0.3">
      <c r="A232" s="2">
        <v>231</v>
      </c>
      <c r="B232" s="38">
        <v>45819</v>
      </c>
      <c r="C232" s="18" t="s">
        <v>40</v>
      </c>
      <c r="D232" s="4" t="s">
        <v>262</v>
      </c>
      <c r="E232" s="2" t="s">
        <v>22</v>
      </c>
      <c r="F232" s="5">
        <v>4</v>
      </c>
      <c r="G232" s="6" t="s">
        <v>14</v>
      </c>
      <c r="H232" s="2" t="s">
        <v>27</v>
      </c>
      <c r="I232" s="2">
        <v>58.1</v>
      </c>
      <c r="J232" s="2">
        <v>14</v>
      </c>
      <c r="K232" s="2">
        <f t="shared" si="6"/>
        <v>8.1300000000000008</v>
      </c>
      <c r="L232" s="2">
        <f t="shared" si="7"/>
        <v>3.25</v>
      </c>
    </row>
    <row r="233" spans="1:12" x14ac:dyDescent="0.3">
      <c r="A233" s="7">
        <v>232</v>
      </c>
      <c r="B233" s="39">
        <v>45813</v>
      </c>
      <c r="C233" s="8" t="s">
        <v>16</v>
      </c>
      <c r="D233" s="9" t="s">
        <v>263</v>
      </c>
      <c r="E233" s="7" t="s">
        <v>13</v>
      </c>
      <c r="F233" s="10">
        <v>5</v>
      </c>
      <c r="G233" s="11" t="s">
        <v>18</v>
      </c>
      <c r="H233" s="7" t="s">
        <v>24</v>
      </c>
      <c r="I233" s="7">
        <v>43.7</v>
      </c>
      <c r="J233" s="7">
        <v>10</v>
      </c>
      <c r="K233" s="7">
        <f t="shared" si="6"/>
        <v>4.37</v>
      </c>
      <c r="L233" s="7">
        <f t="shared" si="7"/>
        <v>1.75</v>
      </c>
    </row>
    <row r="234" spans="1:12" x14ac:dyDescent="0.3">
      <c r="A234" s="2">
        <v>233</v>
      </c>
      <c r="B234" s="38">
        <v>45731</v>
      </c>
      <c r="C234" s="15" t="s">
        <v>31</v>
      </c>
      <c r="D234" s="4" t="s">
        <v>264</v>
      </c>
      <c r="E234" s="2" t="s">
        <v>22</v>
      </c>
      <c r="F234" s="5">
        <v>4</v>
      </c>
      <c r="G234" s="6" t="s">
        <v>14</v>
      </c>
      <c r="H234" s="2" t="s">
        <v>48</v>
      </c>
      <c r="I234" s="2">
        <v>21.3</v>
      </c>
      <c r="J234" s="2">
        <v>20</v>
      </c>
      <c r="K234" s="2">
        <f t="shared" si="6"/>
        <v>4.26</v>
      </c>
      <c r="L234" s="2">
        <f t="shared" si="7"/>
        <v>1.7</v>
      </c>
    </row>
    <row r="235" spans="1:12" x14ac:dyDescent="0.3">
      <c r="A235" s="7">
        <v>234</v>
      </c>
      <c r="B235" s="39">
        <v>45709</v>
      </c>
      <c r="C235" s="18" t="s">
        <v>40</v>
      </c>
      <c r="D235" s="9" t="s">
        <v>265</v>
      </c>
      <c r="E235" s="7" t="s">
        <v>46</v>
      </c>
      <c r="F235" s="10">
        <v>5</v>
      </c>
      <c r="G235" s="11" t="s">
        <v>18</v>
      </c>
      <c r="H235" s="7" t="s">
        <v>15</v>
      </c>
      <c r="I235" s="7">
        <v>86.6</v>
      </c>
      <c r="J235" s="7">
        <v>13</v>
      </c>
      <c r="K235" s="7">
        <f t="shared" si="6"/>
        <v>11.26</v>
      </c>
      <c r="L235" s="7">
        <f t="shared" si="7"/>
        <v>4.5</v>
      </c>
    </row>
    <row r="236" spans="1:12" x14ac:dyDescent="0.3">
      <c r="A236" s="2">
        <v>235</v>
      </c>
      <c r="B236" s="38">
        <v>45663</v>
      </c>
      <c r="C236" s="12" t="s">
        <v>20</v>
      </c>
      <c r="D236" s="4" t="s">
        <v>266</v>
      </c>
      <c r="E236" s="2" t="s">
        <v>44</v>
      </c>
      <c r="F236" s="5">
        <v>4</v>
      </c>
      <c r="G236" s="6" t="s">
        <v>14</v>
      </c>
      <c r="H236" s="2" t="s">
        <v>24</v>
      </c>
      <c r="I236" s="2">
        <v>32.6</v>
      </c>
      <c r="J236" s="2">
        <v>16</v>
      </c>
      <c r="K236" s="2">
        <f t="shared" si="6"/>
        <v>5.22</v>
      </c>
      <c r="L236" s="2">
        <f t="shared" si="7"/>
        <v>2.09</v>
      </c>
    </row>
    <row r="237" spans="1:12" x14ac:dyDescent="0.3">
      <c r="A237" s="7">
        <v>236</v>
      </c>
      <c r="B237" s="39">
        <v>45684</v>
      </c>
      <c r="C237" s="8" t="s">
        <v>16</v>
      </c>
      <c r="D237" s="9" t="s">
        <v>267</v>
      </c>
      <c r="E237" s="7" t="s">
        <v>46</v>
      </c>
      <c r="F237" s="19">
        <v>1</v>
      </c>
      <c r="G237" s="14" t="s">
        <v>23</v>
      </c>
      <c r="H237" s="7" t="s">
        <v>27</v>
      </c>
      <c r="I237" s="7">
        <v>3</v>
      </c>
      <c r="J237" s="7">
        <v>13</v>
      </c>
      <c r="K237" s="7">
        <f t="shared" si="6"/>
        <v>0.39</v>
      </c>
      <c r="L237" s="7">
        <f t="shared" si="7"/>
        <v>0.16</v>
      </c>
    </row>
    <row r="238" spans="1:12" x14ac:dyDescent="0.3">
      <c r="A238" s="2">
        <v>237</v>
      </c>
      <c r="B238" s="38">
        <v>45736</v>
      </c>
      <c r="C238" s="12" t="s">
        <v>20</v>
      </c>
      <c r="D238" s="4" t="s">
        <v>268</v>
      </c>
      <c r="E238" s="2" t="s">
        <v>13</v>
      </c>
      <c r="F238" s="16">
        <v>3</v>
      </c>
      <c r="G238" s="17" t="s">
        <v>34</v>
      </c>
      <c r="H238" s="2" t="s">
        <v>15</v>
      </c>
      <c r="I238" s="2">
        <v>20</v>
      </c>
      <c r="J238" s="2">
        <v>15</v>
      </c>
      <c r="K238" s="2">
        <f t="shared" si="6"/>
        <v>3</v>
      </c>
      <c r="L238" s="2">
        <f t="shared" si="7"/>
        <v>1.2</v>
      </c>
    </row>
    <row r="239" spans="1:12" x14ac:dyDescent="0.3">
      <c r="A239" s="7">
        <v>238</v>
      </c>
      <c r="B239" s="39">
        <v>45677</v>
      </c>
      <c r="C239" s="18" t="s">
        <v>40</v>
      </c>
      <c r="D239" s="9" t="s">
        <v>269</v>
      </c>
      <c r="E239" s="7" t="s">
        <v>22</v>
      </c>
      <c r="F239" s="10">
        <v>5</v>
      </c>
      <c r="G239" s="11" t="s">
        <v>18</v>
      </c>
      <c r="H239" s="7" t="s">
        <v>24</v>
      </c>
      <c r="I239" s="7">
        <v>61</v>
      </c>
      <c r="J239" s="7">
        <v>14</v>
      </c>
      <c r="K239" s="7">
        <f t="shared" si="6"/>
        <v>8.5399999999999991</v>
      </c>
      <c r="L239" s="7">
        <f t="shared" si="7"/>
        <v>3.42</v>
      </c>
    </row>
    <row r="240" spans="1:12" x14ac:dyDescent="0.3">
      <c r="A240" s="2">
        <v>239</v>
      </c>
      <c r="B240" s="38">
        <v>45806</v>
      </c>
      <c r="C240" s="3" t="s">
        <v>11</v>
      </c>
      <c r="D240" s="4" t="s">
        <v>270</v>
      </c>
      <c r="E240" s="2" t="s">
        <v>13</v>
      </c>
      <c r="F240" s="5">
        <v>4</v>
      </c>
      <c r="G240" s="6" t="s">
        <v>14</v>
      </c>
      <c r="H240" s="2" t="s">
        <v>24</v>
      </c>
      <c r="I240" s="2">
        <v>59.9</v>
      </c>
      <c r="J240" s="2">
        <v>15</v>
      </c>
      <c r="K240" s="2">
        <f t="shared" si="6"/>
        <v>8.99</v>
      </c>
      <c r="L240" s="2">
        <f t="shared" si="7"/>
        <v>3.6</v>
      </c>
    </row>
    <row r="241" spans="1:12" x14ac:dyDescent="0.3">
      <c r="A241" s="7">
        <v>240</v>
      </c>
      <c r="B241" s="39">
        <v>45666</v>
      </c>
      <c r="C241" s="15" t="s">
        <v>31</v>
      </c>
      <c r="D241" s="9" t="s">
        <v>271</v>
      </c>
      <c r="E241" s="7" t="s">
        <v>22</v>
      </c>
      <c r="F241" s="10">
        <v>5</v>
      </c>
      <c r="G241" s="11" t="s">
        <v>18</v>
      </c>
      <c r="H241" s="7" t="s">
        <v>48</v>
      </c>
      <c r="I241" s="7">
        <v>96.9</v>
      </c>
      <c r="J241" s="7">
        <v>22</v>
      </c>
      <c r="K241" s="7">
        <f t="shared" si="6"/>
        <v>21.32</v>
      </c>
      <c r="L241" s="7">
        <f t="shared" si="7"/>
        <v>8.5299999999999994</v>
      </c>
    </row>
    <row r="242" spans="1:12" x14ac:dyDescent="0.3">
      <c r="A242" s="2">
        <v>241</v>
      </c>
      <c r="B242" s="38">
        <v>45672</v>
      </c>
      <c r="C242" s="8" t="s">
        <v>16</v>
      </c>
      <c r="D242" s="4" t="s">
        <v>272</v>
      </c>
      <c r="E242" s="2" t="s">
        <v>44</v>
      </c>
      <c r="F242" s="10">
        <v>5</v>
      </c>
      <c r="G242" s="11" t="s">
        <v>18</v>
      </c>
      <c r="H242" s="2" t="s">
        <v>27</v>
      </c>
      <c r="I242" s="2">
        <v>123.3</v>
      </c>
      <c r="J242" s="2">
        <v>14</v>
      </c>
      <c r="K242" s="2">
        <f t="shared" si="6"/>
        <v>17.260000000000002</v>
      </c>
      <c r="L242" s="2">
        <f t="shared" si="7"/>
        <v>6.9</v>
      </c>
    </row>
    <row r="243" spans="1:12" x14ac:dyDescent="0.3">
      <c r="A243" s="7">
        <v>242</v>
      </c>
      <c r="B243" s="39">
        <v>45764</v>
      </c>
      <c r="C243" s="12" t="s">
        <v>20</v>
      </c>
      <c r="D243" s="9" t="s">
        <v>273</v>
      </c>
      <c r="E243" s="7" t="s">
        <v>13</v>
      </c>
      <c r="F243" s="10">
        <v>5</v>
      </c>
      <c r="G243" s="11" t="s">
        <v>18</v>
      </c>
      <c r="H243" s="7" t="s">
        <v>27</v>
      </c>
      <c r="I243" s="7">
        <v>64.900000000000006</v>
      </c>
      <c r="J243" s="7">
        <v>19</v>
      </c>
      <c r="K243" s="7">
        <f t="shared" si="6"/>
        <v>12.33</v>
      </c>
      <c r="L243" s="7">
        <f t="shared" si="7"/>
        <v>4.93</v>
      </c>
    </row>
    <row r="244" spans="1:12" x14ac:dyDescent="0.3">
      <c r="A244" s="2">
        <v>243</v>
      </c>
      <c r="B244" s="38">
        <v>45734</v>
      </c>
      <c r="C244" s="12" t="s">
        <v>20</v>
      </c>
      <c r="D244" s="4" t="s">
        <v>274</v>
      </c>
      <c r="E244" s="2" t="s">
        <v>22</v>
      </c>
      <c r="F244" s="5">
        <v>4</v>
      </c>
      <c r="G244" s="6" t="s">
        <v>14</v>
      </c>
      <c r="H244" s="2" t="s">
        <v>15</v>
      </c>
      <c r="I244" s="2">
        <v>38.700000000000003</v>
      </c>
      <c r="J244" s="2">
        <v>20</v>
      </c>
      <c r="K244" s="2">
        <f t="shared" si="6"/>
        <v>7.74</v>
      </c>
      <c r="L244" s="2">
        <f t="shared" si="7"/>
        <v>3.1</v>
      </c>
    </row>
    <row r="245" spans="1:12" x14ac:dyDescent="0.3">
      <c r="A245" s="7">
        <v>244</v>
      </c>
      <c r="B245" s="39">
        <v>45752</v>
      </c>
      <c r="C245" s="15" t="s">
        <v>31</v>
      </c>
      <c r="D245" s="9" t="s">
        <v>275</v>
      </c>
      <c r="E245" s="7" t="s">
        <v>29</v>
      </c>
      <c r="F245" s="13">
        <v>2</v>
      </c>
      <c r="G245" s="14" t="s">
        <v>23</v>
      </c>
      <c r="H245" s="7" t="s">
        <v>24</v>
      </c>
      <c r="I245" s="7">
        <v>10</v>
      </c>
      <c r="J245" s="7">
        <v>25</v>
      </c>
      <c r="K245" s="7">
        <f t="shared" si="6"/>
        <v>2.5</v>
      </c>
      <c r="L245" s="7">
        <f t="shared" si="7"/>
        <v>1</v>
      </c>
    </row>
    <row r="246" spans="1:12" x14ac:dyDescent="0.3">
      <c r="A246" s="2">
        <v>245</v>
      </c>
      <c r="B246" s="38">
        <v>45800</v>
      </c>
      <c r="C246" s="15" t="s">
        <v>31</v>
      </c>
      <c r="D246" s="4" t="s">
        <v>276</v>
      </c>
      <c r="E246" s="2" t="s">
        <v>44</v>
      </c>
      <c r="F246" s="10">
        <v>5</v>
      </c>
      <c r="G246" s="11" t="s">
        <v>18</v>
      </c>
      <c r="H246" s="2" t="s">
        <v>48</v>
      </c>
      <c r="I246" s="2">
        <v>47.7</v>
      </c>
      <c r="J246" s="2">
        <v>23</v>
      </c>
      <c r="K246" s="2">
        <f t="shared" si="6"/>
        <v>10.97</v>
      </c>
      <c r="L246" s="2">
        <f t="shared" si="7"/>
        <v>4.3899999999999997</v>
      </c>
    </row>
    <row r="247" spans="1:12" x14ac:dyDescent="0.3">
      <c r="A247" s="7">
        <v>246</v>
      </c>
      <c r="B247" s="39">
        <v>45818</v>
      </c>
      <c r="C247" s="15" t="s">
        <v>31</v>
      </c>
      <c r="D247" s="9" t="s">
        <v>277</v>
      </c>
      <c r="E247" s="7" t="s">
        <v>29</v>
      </c>
      <c r="F247" s="5">
        <v>4</v>
      </c>
      <c r="G247" s="6" t="s">
        <v>14</v>
      </c>
      <c r="H247" s="7" t="s">
        <v>48</v>
      </c>
      <c r="I247" s="7">
        <v>33.799999999999997</v>
      </c>
      <c r="J247" s="7">
        <v>26</v>
      </c>
      <c r="K247" s="7">
        <f t="shared" si="6"/>
        <v>8.7899999999999991</v>
      </c>
      <c r="L247" s="7">
        <f t="shared" si="7"/>
        <v>3.52</v>
      </c>
    </row>
    <row r="248" spans="1:12" x14ac:dyDescent="0.3">
      <c r="A248" s="2">
        <v>247</v>
      </c>
      <c r="B248" s="38">
        <v>45808</v>
      </c>
      <c r="C248" s="12" t="s">
        <v>20</v>
      </c>
      <c r="D248" s="4" t="s">
        <v>278</v>
      </c>
      <c r="E248" s="2" t="s">
        <v>44</v>
      </c>
      <c r="F248" s="10">
        <v>5</v>
      </c>
      <c r="G248" s="11" t="s">
        <v>18</v>
      </c>
      <c r="H248" s="2" t="s">
        <v>27</v>
      </c>
      <c r="I248" s="2">
        <v>85.4</v>
      </c>
      <c r="J248" s="2">
        <v>12</v>
      </c>
      <c r="K248" s="2">
        <f t="shared" si="6"/>
        <v>10.25</v>
      </c>
      <c r="L248" s="2">
        <f t="shared" si="7"/>
        <v>4.0999999999999996</v>
      </c>
    </row>
    <row r="249" spans="1:12" x14ac:dyDescent="0.3">
      <c r="A249" s="7">
        <v>248</v>
      </c>
      <c r="B249" s="39">
        <v>45805</v>
      </c>
      <c r="C249" s="18" t="s">
        <v>40</v>
      </c>
      <c r="D249" s="9" t="s">
        <v>279</v>
      </c>
      <c r="E249" s="7" t="s">
        <v>36</v>
      </c>
      <c r="F249" s="5">
        <v>4</v>
      </c>
      <c r="G249" s="6" t="s">
        <v>14</v>
      </c>
      <c r="H249" s="7" t="s">
        <v>15</v>
      </c>
      <c r="I249" s="7">
        <v>26.6</v>
      </c>
      <c r="J249" s="7">
        <v>17</v>
      </c>
      <c r="K249" s="7">
        <f t="shared" si="6"/>
        <v>4.5199999999999996</v>
      </c>
      <c r="L249" s="7">
        <f t="shared" si="7"/>
        <v>1.81</v>
      </c>
    </row>
    <row r="250" spans="1:12" x14ac:dyDescent="0.3">
      <c r="A250" s="2">
        <v>249</v>
      </c>
      <c r="B250" s="38">
        <v>45733</v>
      </c>
      <c r="C250" s="3" t="s">
        <v>11</v>
      </c>
      <c r="D250" s="4" t="s">
        <v>280</v>
      </c>
      <c r="E250" s="2" t="s">
        <v>26</v>
      </c>
      <c r="F250" s="16">
        <v>3</v>
      </c>
      <c r="G250" s="17" t="s">
        <v>34</v>
      </c>
      <c r="H250" s="2" t="s">
        <v>48</v>
      </c>
      <c r="I250" s="2">
        <v>23.2</v>
      </c>
      <c r="J250" s="2">
        <v>11</v>
      </c>
      <c r="K250" s="2">
        <f t="shared" si="6"/>
        <v>2.5499999999999998</v>
      </c>
      <c r="L250" s="2">
        <f t="shared" si="7"/>
        <v>1.02</v>
      </c>
    </row>
    <row r="251" spans="1:12" x14ac:dyDescent="0.3">
      <c r="A251" s="7">
        <v>250</v>
      </c>
      <c r="B251" s="39">
        <v>45707</v>
      </c>
      <c r="C251" s="3" t="s">
        <v>11</v>
      </c>
      <c r="D251" s="9" t="s">
        <v>281</v>
      </c>
      <c r="E251" s="7" t="s">
        <v>36</v>
      </c>
      <c r="F251" s="10">
        <v>5</v>
      </c>
      <c r="G251" s="11" t="s">
        <v>18</v>
      </c>
      <c r="H251" s="7" t="s">
        <v>48</v>
      </c>
      <c r="I251" s="7">
        <v>68.8</v>
      </c>
      <c r="J251" s="7">
        <v>14</v>
      </c>
      <c r="K251" s="7">
        <f t="shared" si="6"/>
        <v>9.6300000000000008</v>
      </c>
      <c r="L251" s="7">
        <f t="shared" si="7"/>
        <v>3.85</v>
      </c>
    </row>
    <row r="252" spans="1:12" x14ac:dyDescent="0.3">
      <c r="A252" s="2">
        <v>251</v>
      </c>
      <c r="B252" s="38">
        <v>45683</v>
      </c>
      <c r="C252" s="15" t="s">
        <v>31</v>
      </c>
      <c r="D252" s="4" t="s">
        <v>282</v>
      </c>
      <c r="E252" s="2" t="s">
        <v>29</v>
      </c>
      <c r="F252" s="5">
        <v>4</v>
      </c>
      <c r="G252" s="6" t="s">
        <v>14</v>
      </c>
      <c r="H252" s="2" t="s">
        <v>27</v>
      </c>
      <c r="I252" s="2">
        <v>43.7</v>
      </c>
      <c r="J252" s="2">
        <v>27</v>
      </c>
      <c r="K252" s="2">
        <f t="shared" si="6"/>
        <v>11.8</v>
      </c>
      <c r="L252" s="2">
        <f t="shared" si="7"/>
        <v>4.72</v>
      </c>
    </row>
    <row r="253" spans="1:12" x14ac:dyDescent="0.3">
      <c r="A253" s="7">
        <v>252</v>
      </c>
      <c r="B253" s="39">
        <v>45759</v>
      </c>
      <c r="C253" s="18" t="s">
        <v>40</v>
      </c>
      <c r="D253" s="9" t="s">
        <v>283</v>
      </c>
      <c r="E253" s="7" t="s">
        <v>44</v>
      </c>
      <c r="F253" s="10">
        <v>5</v>
      </c>
      <c r="G253" s="11" t="s">
        <v>18</v>
      </c>
      <c r="H253" s="7" t="s">
        <v>48</v>
      </c>
      <c r="I253" s="7">
        <v>75.5</v>
      </c>
      <c r="J253" s="7">
        <v>21</v>
      </c>
      <c r="K253" s="7">
        <f t="shared" si="6"/>
        <v>15.86</v>
      </c>
      <c r="L253" s="7">
        <f t="shared" si="7"/>
        <v>6.34</v>
      </c>
    </row>
    <row r="254" spans="1:12" x14ac:dyDescent="0.3">
      <c r="A254" s="2">
        <v>253</v>
      </c>
      <c r="B254" s="38">
        <v>45760</v>
      </c>
      <c r="C254" s="18" t="s">
        <v>40</v>
      </c>
      <c r="D254" s="4" t="s">
        <v>284</v>
      </c>
      <c r="E254" s="2" t="s">
        <v>33</v>
      </c>
      <c r="F254" s="10">
        <v>5</v>
      </c>
      <c r="G254" s="11" t="s">
        <v>18</v>
      </c>
      <c r="H254" s="2" t="s">
        <v>19</v>
      </c>
      <c r="I254" s="2">
        <v>44.8</v>
      </c>
      <c r="J254" s="2">
        <v>22</v>
      </c>
      <c r="K254" s="2">
        <f t="shared" si="6"/>
        <v>9.86</v>
      </c>
      <c r="L254" s="2">
        <f t="shared" si="7"/>
        <v>3.94</v>
      </c>
    </row>
    <row r="255" spans="1:12" x14ac:dyDescent="0.3">
      <c r="A255" s="7">
        <v>254</v>
      </c>
      <c r="B255" s="39">
        <v>45702</v>
      </c>
      <c r="C255" s="18" t="s">
        <v>40</v>
      </c>
      <c r="D255" s="9" t="s">
        <v>285</v>
      </c>
      <c r="E255" s="7" t="s">
        <v>26</v>
      </c>
      <c r="F255" s="16">
        <v>3</v>
      </c>
      <c r="G255" s="17" t="s">
        <v>34</v>
      </c>
      <c r="H255" s="7" t="s">
        <v>27</v>
      </c>
      <c r="I255" s="7">
        <v>21</v>
      </c>
      <c r="J255" s="7">
        <v>18</v>
      </c>
      <c r="K255" s="7">
        <f t="shared" si="6"/>
        <v>3.78</v>
      </c>
      <c r="L255" s="7">
        <f t="shared" si="7"/>
        <v>1.51</v>
      </c>
    </row>
    <row r="256" spans="1:12" x14ac:dyDescent="0.3">
      <c r="A256" s="2">
        <v>255</v>
      </c>
      <c r="B256" s="38">
        <v>45725</v>
      </c>
      <c r="C256" s="18" t="s">
        <v>40</v>
      </c>
      <c r="D256" s="4" t="s">
        <v>286</v>
      </c>
      <c r="E256" s="2" t="s">
        <v>13</v>
      </c>
      <c r="F256" s="13">
        <v>2</v>
      </c>
      <c r="G256" s="14" t="s">
        <v>23</v>
      </c>
      <c r="H256" s="2" t="s">
        <v>48</v>
      </c>
      <c r="I256" s="2">
        <v>5</v>
      </c>
      <c r="J256" s="2">
        <v>16</v>
      </c>
      <c r="K256" s="2">
        <f t="shared" si="6"/>
        <v>0.8</v>
      </c>
      <c r="L256" s="2">
        <f t="shared" si="7"/>
        <v>0.32</v>
      </c>
    </row>
    <row r="257" spans="1:12" x14ac:dyDescent="0.3">
      <c r="A257" s="7">
        <v>256</v>
      </c>
      <c r="B257" s="39">
        <v>45775</v>
      </c>
      <c r="C257" s="12" t="s">
        <v>20</v>
      </c>
      <c r="D257" s="9" t="s">
        <v>287</v>
      </c>
      <c r="E257" s="7" t="s">
        <v>44</v>
      </c>
      <c r="F257" s="10">
        <v>5</v>
      </c>
      <c r="G257" s="11" t="s">
        <v>18</v>
      </c>
      <c r="H257" s="7" t="s">
        <v>24</v>
      </c>
      <c r="I257" s="7">
        <v>71.2</v>
      </c>
      <c r="J257" s="7">
        <v>13</v>
      </c>
      <c r="K257" s="7">
        <f t="shared" si="6"/>
        <v>9.26</v>
      </c>
      <c r="L257" s="7">
        <f t="shared" si="7"/>
        <v>3.7</v>
      </c>
    </row>
    <row r="258" spans="1:12" x14ac:dyDescent="0.3">
      <c r="A258" s="2">
        <v>257</v>
      </c>
      <c r="B258" s="38">
        <v>45742</v>
      </c>
      <c r="C258" s="15" t="s">
        <v>31</v>
      </c>
      <c r="D258" s="4" t="s">
        <v>288</v>
      </c>
      <c r="E258" s="2" t="s">
        <v>26</v>
      </c>
      <c r="F258" s="16">
        <v>3</v>
      </c>
      <c r="G258" s="17" t="s">
        <v>34</v>
      </c>
      <c r="H258" s="2" t="s">
        <v>24</v>
      </c>
      <c r="I258" s="2">
        <v>16.2</v>
      </c>
      <c r="J258" s="2">
        <v>21</v>
      </c>
      <c r="K258" s="2">
        <f t="shared" ref="K258:K321" si="8">ROUND(I258*J258/100,2)</f>
        <v>3.4</v>
      </c>
      <c r="L258" s="2">
        <f t="shared" ref="L258:L321" si="9">ROUND(K258*0.4,2)</f>
        <v>1.36</v>
      </c>
    </row>
    <row r="259" spans="1:12" x14ac:dyDescent="0.3">
      <c r="A259" s="7">
        <v>258</v>
      </c>
      <c r="B259" s="39">
        <v>45690</v>
      </c>
      <c r="C259" s="18" t="s">
        <v>40</v>
      </c>
      <c r="D259" s="9" t="s">
        <v>289</v>
      </c>
      <c r="E259" s="7" t="s">
        <v>26</v>
      </c>
      <c r="F259" s="16">
        <v>3</v>
      </c>
      <c r="G259" s="17" t="s">
        <v>34</v>
      </c>
      <c r="H259" s="7" t="s">
        <v>15</v>
      </c>
      <c r="I259" s="7">
        <v>20.5</v>
      </c>
      <c r="J259" s="7">
        <v>17</v>
      </c>
      <c r="K259" s="7">
        <f t="shared" si="8"/>
        <v>3.49</v>
      </c>
      <c r="L259" s="7">
        <f t="shared" si="9"/>
        <v>1.4</v>
      </c>
    </row>
    <row r="260" spans="1:12" x14ac:dyDescent="0.3">
      <c r="A260" s="2">
        <v>259</v>
      </c>
      <c r="B260" s="38">
        <v>45691</v>
      </c>
      <c r="C260" s="3" t="s">
        <v>11</v>
      </c>
      <c r="D260" s="4" t="s">
        <v>290</v>
      </c>
      <c r="E260" s="2" t="s">
        <v>36</v>
      </c>
      <c r="F260" s="10">
        <v>5</v>
      </c>
      <c r="G260" s="11" t="s">
        <v>18</v>
      </c>
      <c r="H260" s="2" t="s">
        <v>48</v>
      </c>
      <c r="I260" s="2">
        <v>99</v>
      </c>
      <c r="J260" s="2">
        <v>15</v>
      </c>
      <c r="K260" s="2">
        <f t="shared" si="8"/>
        <v>14.85</v>
      </c>
      <c r="L260" s="2">
        <f t="shared" si="9"/>
        <v>5.94</v>
      </c>
    </row>
    <row r="261" spans="1:12" x14ac:dyDescent="0.3">
      <c r="A261" s="7">
        <v>260</v>
      </c>
      <c r="B261" s="39">
        <v>45772</v>
      </c>
      <c r="C261" s="15" t="s">
        <v>31</v>
      </c>
      <c r="D261" s="9" t="s">
        <v>291</v>
      </c>
      <c r="E261" s="7" t="s">
        <v>46</v>
      </c>
      <c r="F261" s="16">
        <v>3</v>
      </c>
      <c r="G261" s="17" t="s">
        <v>34</v>
      </c>
      <c r="H261" s="7" t="s">
        <v>24</v>
      </c>
      <c r="I261" s="7">
        <v>12.2</v>
      </c>
      <c r="J261" s="7">
        <v>19</v>
      </c>
      <c r="K261" s="7">
        <f t="shared" si="8"/>
        <v>2.3199999999999998</v>
      </c>
      <c r="L261" s="7">
        <f t="shared" si="9"/>
        <v>0.93</v>
      </c>
    </row>
    <row r="262" spans="1:12" x14ac:dyDescent="0.3">
      <c r="A262" s="2">
        <v>261</v>
      </c>
      <c r="B262" s="38">
        <v>45835</v>
      </c>
      <c r="C262" s="3" t="s">
        <v>11</v>
      </c>
      <c r="D262" s="4" t="s">
        <v>292</v>
      </c>
      <c r="E262" s="2" t="s">
        <v>44</v>
      </c>
      <c r="F262" s="10">
        <v>5</v>
      </c>
      <c r="G262" s="11" t="s">
        <v>18</v>
      </c>
      <c r="H262" s="2" t="s">
        <v>48</v>
      </c>
      <c r="I262" s="2">
        <v>83.9</v>
      </c>
      <c r="J262" s="2">
        <v>12</v>
      </c>
      <c r="K262" s="2">
        <f t="shared" si="8"/>
        <v>10.07</v>
      </c>
      <c r="L262" s="2">
        <f t="shared" si="9"/>
        <v>4.03</v>
      </c>
    </row>
    <row r="263" spans="1:12" x14ac:dyDescent="0.3">
      <c r="A263" s="7">
        <v>262</v>
      </c>
      <c r="B263" s="39">
        <v>45837</v>
      </c>
      <c r="C263" s="8" t="s">
        <v>16</v>
      </c>
      <c r="D263" s="9" t="s">
        <v>293</v>
      </c>
      <c r="E263" s="7" t="s">
        <v>33</v>
      </c>
      <c r="F263" s="10">
        <v>5</v>
      </c>
      <c r="G263" s="11" t="s">
        <v>18</v>
      </c>
      <c r="H263" s="7" t="s">
        <v>15</v>
      </c>
      <c r="I263" s="7">
        <v>59.9</v>
      </c>
      <c r="J263" s="7">
        <v>11</v>
      </c>
      <c r="K263" s="7">
        <f t="shared" si="8"/>
        <v>6.59</v>
      </c>
      <c r="L263" s="7">
        <f t="shared" si="9"/>
        <v>2.64</v>
      </c>
    </row>
    <row r="264" spans="1:12" x14ac:dyDescent="0.3">
      <c r="A264" s="2">
        <v>263</v>
      </c>
      <c r="B264" s="38">
        <v>45757</v>
      </c>
      <c r="C264" s="12" t="s">
        <v>20</v>
      </c>
      <c r="D264" s="4" t="s">
        <v>294</v>
      </c>
      <c r="E264" s="2" t="s">
        <v>29</v>
      </c>
      <c r="F264" s="5">
        <v>4</v>
      </c>
      <c r="G264" s="6" t="s">
        <v>14</v>
      </c>
      <c r="H264" s="2" t="s">
        <v>15</v>
      </c>
      <c r="I264" s="2">
        <v>39.9</v>
      </c>
      <c r="J264" s="2">
        <v>13</v>
      </c>
      <c r="K264" s="2">
        <f t="shared" si="8"/>
        <v>5.19</v>
      </c>
      <c r="L264" s="2">
        <f t="shared" si="9"/>
        <v>2.08</v>
      </c>
    </row>
    <row r="265" spans="1:12" x14ac:dyDescent="0.3">
      <c r="A265" s="7">
        <v>264</v>
      </c>
      <c r="B265" s="39">
        <v>45765</v>
      </c>
      <c r="C265" s="15" t="s">
        <v>31</v>
      </c>
      <c r="D265" s="9" t="s">
        <v>295</v>
      </c>
      <c r="E265" s="7" t="s">
        <v>46</v>
      </c>
      <c r="F265" s="10">
        <v>5</v>
      </c>
      <c r="G265" s="11" t="s">
        <v>18</v>
      </c>
      <c r="H265" s="7" t="s">
        <v>27</v>
      </c>
      <c r="I265" s="7">
        <v>101.3</v>
      </c>
      <c r="J265" s="7">
        <v>18</v>
      </c>
      <c r="K265" s="7">
        <f t="shared" si="8"/>
        <v>18.23</v>
      </c>
      <c r="L265" s="7">
        <f t="shared" si="9"/>
        <v>7.29</v>
      </c>
    </row>
    <row r="266" spans="1:12" x14ac:dyDescent="0.3">
      <c r="A266" s="2">
        <v>265</v>
      </c>
      <c r="B266" s="38">
        <v>45801</v>
      </c>
      <c r="C266" s="12" t="s">
        <v>20</v>
      </c>
      <c r="D266" s="4" t="s">
        <v>296</v>
      </c>
      <c r="E266" s="2" t="s">
        <v>22</v>
      </c>
      <c r="F266" s="5">
        <v>4</v>
      </c>
      <c r="G266" s="6" t="s">
        <v>14</v>
      </c>
      <c r="H266" s="2" t="s">
        <v>24</v>
      </c>
      <c r="I266" s="2">
        <v>31.4</v>
      </c>
      <c r="J266" s="2">
        <v>12</v>
      </c>
      <c r="K266" s="2">
        <f t="shared" si="8"/>
        <v>3.77</v>
      </c>
      <c r="L266" s="2">
        <f t="shared" si="9"/>
        <v>1.51</v>
      </c>
    </row>
    <row r="267" spans="1:12" x14ac:dyDescent="0.3">
      <c r="A267" s="7">
        <v>266</v>
      </c>
      <c r="B267" s="39">
        <v>45703</v>
      </c>
      <c r="C267" s="8" t="s">
        <v>16</v>
      </c>
      <c r="D267" s="9" t="s">
        <v>297</v>
      </c>
      <c r="E267" s="7" t="s">
        <v>46</v>
      </c>
      <c r="F267" s="5">
        <v>4</v>
      </c>
      <c r="G267" s="6" t="s">
        <v>14</v>
      </c>
      <c r="H267" s="7" t="s">
        <v>15</v>
      </c>
      <c r="I267" s="7">
        <v>49.1</v>
      </c>
      <c r="J267" s="7">
        <v>16</v>
      </c>
      <c r="K267" s="7">
        <f t="shared" si="8"/>
        <v>7.86</v>
      </c>
      <c r="L267" s="7">
        <f t="shared" si="9"/>
        <v>3.14</v>
      </c>
    </row>
    <row r="268" spans="1:12" x14ac:dyDescent="0.3">
      <c r="A268" s="2">
        <v>267</v>
      </c>
      <c r="B268" s="38">
        <v>45750</v>
      </c>
      <c r="C268" s="18" t="s">
        <v>40</v>
      </c>
      <c r="D268" s="4" t="s">
        <v>298</v>
      </c>
      <c r="E268" s="2" t="s">
        <v>22</v>
      </c>
      <c r="F268" s="13">
        <v>2</v>
      </c>
      <c r="G268" s="14" t="s">
        <v>23</v>
      </c>
      <c r="H268" s="2" t="s">
        <v>19</v>
      </c>
      <c r="I268" s="2">
        <v>7</v>
      </c>
      <c r="J268" s="2">
        <v>15</v>
      </c>
      <c r="K268" s="2">
        <f t="shared" si="8"/>
        <v>1.05</v>
      </c>
      <c r="L268" s="2">
        <f t="shared" si="9"/>
        <v>0.42</v>
      </c>
    </row>
    <row r="269" spans="1:12" x14ac:dyDescent="0.3">
      <c r="A269" s="7">
        <v>268</v>
      </c>
      <c r="B269" s="39">
        <v>45722</v>
      </c>
      <c r="C269" s="8" t="s">
        <v>16</v>
      </c>
      <c r="D269" s="9" t="s">
        <v>299</v>
      </c>
      <c r="E269" s="7" t="s">
        <v>13</v>
      </c>
      <c r="F269" s="5">
        <v>4</v>
      </c>
      <c r="G269" s="6" t="s">
        <v>14</v>
      </c>
      <c r="H269" s="7" t="s">
        <v>24</v>
      </c>
      <c r="I269" s="7">
        <v>40.200000000000003</v>
      </c>
      <c r="J269" s="7">
        <v>16</v>
      </c>
      <c r="K269" s="7">
        <f t="shared" si="8"/>
        <v>6.43</v>
      </c>
      <c r="L269" s="7">
        <f t="shared" si="9"/>
        <v>2.57</v>
      </c>
    </row>
    <row r="270" spans="1:12" x14ac:dyDescent="0.3">
      <c r="A270" s="2">
        <v>269</v>
      </c>
      <c r="B270" s="38">
        <v>45711</v>
      </c>
      <c r="C270" s="8" t="s">
        <v>16</v>
      </c>
      <c r="D270" s="4" t="s">
        <v>300</v>
      </c>
      <c r="E270" s="2" t="s">
        <v>33</v>
      </c>
      <c r="F270" s="10">
        <v>5</v>
      </c>
      <c r="G270" s="11" t="s">
        <v>18</v>
      </c>
      <c r="H270" s="2" t="s">
        <v>48</v>
      </c>
      <c r="I270" s="2">
        <v>111.4</v>
      </c>
      <c r="J270" s="2">
        <v>10</v>
      </c>
      <c r="K270" s="2">
        <f t="shared" si="8"/>
        <v>11.14</v>
      </c>
      <c r="L270" s="2">
        <f t="shared" si="9"/>
        <v>4.46</v>
      </c>
    </row>
    <row r="271" spans="1:12" x14ac:dyDescent="0.3">
      <c r="A271" s="7">
        <v>270</v>
      </c>
      <c r="B271" s="39">
        <v>45728</v>
      </c>
      <c r="C271" s="12" t="s">
        <v>20</v>
      </c>
      <c r="D271" s="9" t="s">
        <v>301</v>
      </c>
      <c r="E271" s="7" t="s">
        <v>13</v>
      </c>
      <c r="F271" s="5">
        <v>4</v>
      </c>
      <c r="G271" s="6" t="s">
        <v>14</v>
      </c>
      <c r="H271" s="7" t="s">
        <v>15</v>
      </c>
      <c r="I271" s="7">
        <v>42.3</v>
      </c>
      <c r="J271" s="7">
        <v>17</v>
      </c>
      <c r="K271" s="7">
        <f t="shared" si="8"/>
        <v>7.19</v>
      </c>
      <c r="L271" s="7">
        <f t="shared" si="9"/>
        <v>2.88</v>
      </c>
    </row>
    <row r="272" spans="1:12" x14ac:dyDescent="0.3">
      <c r="A272" s="2">
        <v>271</v>
      </c>
      <c r="B272" s="38">
        <v>45776</v>
      </c>
      <c r="C272" s="3" t="s">
        <v>11</v>
      </c>
      <c r="D272" s="4" t="s">
        <v>302</v>
      </c>
      <c r="E272" s="2" t="s">
        <v>36</v>
      </c>
      <c r="F272" s="16">
        <v>3</v>
      </c>
      <c r="G272" s="17" t="s">
        <v>34</v>
      </c>
      <c r="H272" s="2" t="s">
        <v>48</v>
      </c>
      <c r="I272" s="2">
        <v>14.8</v>
      </c>
      <c r="J272" s="2">
        <v>10</v>
      </c>
      <c r="K272" s="2">
        <f t="shared" si="8"/>
        <v>1.48</v>
      </c>
      <c r="L272" s="2">
        <f t="shared" si="9"/>
        <v>0.59</v>
      </c>
    </row>
    <row r="273" spans="1:12" x14ac:dyDescent="0.3">
      <c r="A273" s="7">
        <v>272</v>
      </c>
      <c r="B273" s="39">
        <v>45804</v>
      </c>
      <c r="C273" s="8" t="s">
        <v>16</v>
      </c>
      <c r="D273" s="9" t="s">
        <v>303</v>
      </c>
      <c r="E273" s="7" t="s">
        <v>46</v>
      </c>
      <c r="F273" s="16">
        <v>3</v>
      </c>
      <c r="G273" s="17" t="s">
        <v>34</v>
      </c>
      <c r="H273" s="7" t="s">
        <v>15</v>
      </c>
      <c r="I273" s="7">
        <v>21.7</v>
      </c>
      <c r="J273" s="7">
        <v>14</v>
      </c>
      <c r="K273" s="7">
        <f t="shared" si="8"/>
        <v>3.04</v>
      </c>
      <c r="L273" s="7">
        <f t="shared" si="9"/>
        <v>1.22</v>
      </c>
    </row>
    <row r="274" spans="1:12" x14ac:dyDescent="0.3">
      <c r="A274" s="2">
        <v>273</v>
      </c>
      <c r="B274" s="38">
        <v>45837</v>
      </c>
      <c r="C274" s="3" t="s">
        <v>11</v>
      </c>
      <c r="D274" s="4" t="s">
        <v>304</v>
      </c>
      <c r="E274" s="2" t="s">
        <v>36</v>
      </c>
      <c r="F274" s="5">
        <v>4</v>
      </c>
      <c r="G274" s="6" t="s">
        <v>14</v>
      </c>
      <c r="H274" s="2" t="s">
        <v>48</v>
      </c>
      <c r="I274" s="2">
        <v>25.6</v>
      </c>
      <c r="J274" s="2">
        <v>15</v>
      </c>
      <c r="K274" s="2">
        <f t="shared" si="8"/>
        <v>3.84</v>
      </c>
      <c r="L274" s="2">
        <f t="shared" si="9"/>
        <v>1.54</v>
      </c>
    </row>
    <row r="275" spans="1:12" x14ac:dyDescent="0.3">
      <c r="A275" s="7">
        <v>274</v>
      </c>
      <c r="B275" s="39">
        <v>45755</v>
      </c>
      <c r="C275" s="8" t="s">
        <v>16</v>
      </c>
      <c r="D275" s="9" t="s">
        <v>305</v>
      </c>
      <c r="E275" s="7" t="s">
        <v>36</v>
      </c>
      <c r="F275" s="10">
        <v>5</v>
      </c>
      <c r="G275" s="11" t="s">
        <v>18</v>
      </c>
      <c r="H275" s="7" t="s">
        <v>15</v>
      </c>
      <c r="I275" s="7">
        <v>102.3</v>
      </c>
      <c r="J275" s="7">
        <v>14</v>
      </c>
      <c r="K275" s="7">
        <f t="shared" si="8"/>
        <v>14.32</v>
      </c>
      <c r="L275" s="7">
        <f t="shared" si="9"/>
        <v>5.73</v>
      </c>
    </row>
    <row r="276" spans="1:12" x14ac:dyDescent="0.3">
      <c r="A276" s="2">
        <v>275</v>
      </c>
      <c r="B276" s="38">
        <v>45705</v>
      </c>
      <c r="C276" s="12" t="s">
        <v>20</v>
      </c>
      <c r="D276" s="4" t="s">
        <v>306</v>
      </c>
      <c r="E276" s="2" t="s">
        <v>29</v>
      </c>
      <c r="F276" s="5">
        <v>4</v>
      </c>
      <c r="G276" s="6" t="s">
        <v>14</v>
      </c>
      <c r="H276" s="2" t="s">
        <v>48</v>
      </c>
      <c r="I276" s="2">
        <v>32</v>
      </c>
      <c r="J276" s="2">
        <v>12</v>
      </c>
      <c r="K276" s="2">
        <f t="shared" si="8"/>
        <v>3.84</v>
      </c>
      <c r="L276" s="2">
        <f t="shared" si="9"/>
        <v>1.54</v>
      </c>
    </row>
    <row r="277" spans="1:12" x14ac:dyDescent="0.3">
      <c r="A277" s="7">
        <v>276</v>
      </c>
      <c r="B277" s="39">
        <v>45780</v>
      </c>
      <c r="C277" s="15" t="s">
        <v>31</v>
      </c>
      <c r="D277" s="9" t="s">
        <v>307</v>
      </c>
      <c r="E277" s="7" t="s">
        <v>22</v>
      </c>
      <c r="F277" s="10">
        <v>5</v>
      </c>
      <c r="G277" s="11" t="s">
        <v>18</v>
      </c>
      <c r="H277" s="7" t="s">
        <v>24</v>
      </c>
      <c r="I277" s="7">
        <v>101.3</v>
      </c>
      <c r="J277" s="7">
        <v>28</v>
      </c>
      <c r="K277" s="7">
        <f t="shared" si="8"/>
        <v>28.36</v>
      </c>
      <c r="L277" s="7">
        <f t="shared" si="9"/>
        <v>11.34</v>
      </c>
    </row>
    <row r="278" spans="1:12" x14ac:dyDescent="0.3">
      <c r="A278" s="2">
        <v>277</v>
      </c>
      <c r="B278" s="38">
        <v>45804</v>
      </c>
      <c r="C278" s="15" t="s">
        <v>31</v>
      </c>
      <c r="D278" s="4" t="s">
        <v>308</v>
      </c>
      <c r="E278" s="2" t="s">
        <v>46</v>
      </c>
      <c r="F278" s="16">
        <v>3</v>
      </c>
      <c r="G278" s="17" t="s">
        <v>34</v>
      </c>
      <c r="H278" s="2" t="s">
        <v>48</v>
      </c>
      <c r="I278" s="2">
        <v>17.8</v>
      </c>
      <c r="J278" s="2">
        <v>18</v>
      </c>
      <c r="K278" s="2">
        <f t="shared" si="8"/>
        <v>3.2</v>
      </c>
      <c r="L278" s="2">
        <f t="shared" si="9"/>
        <v>1.28</v>
      </c>
    </row>
    <row r="279" spans="1:12" x14ac:dyDescent="0.3">
      <c r="A279" s="7">
        <v>278</v>
      </c>
      <c r="B279" s="39">
        <v>45818</v>
      </c>
      <c r="C279" s="15" t="s">
        <v>31</v>
      </c>
      <c r="D279" s="9" t="s">
        <v>309</v>
      </c>
      <c r="E279" s="7" t="s">
        <v>46</v>
      </c>
      <c r="F279" s="16">
        <v>3</v>
      </c>
      <c r="G279" s="17" t="s">
        <v>34</v>
      </c>
      <c r="H279" s="7" t="s">
        <v>48</v>
      </c>
      <c r="I279" s="7">
        <v>21.2</v>
      </c>
      <c r="J279" s="7">
        <v>24</v>
      </c>
      <c r="K279" s="7">
        <f t="shared" si="8"/>
        <v>5.09</v>
      </c>
      <c r="L279" s="7">
        <f t="shared" si="9"/>
        <v>2.04</v>
      </c>
    </row>
    <row r="280" spans="1:12" x14ac:dyDescent="0.3">
      <c r="A280" s="2">
        <v>279</v>
      </c>
      <c r="B280" s="38">
        <v>45779</v>
      </c>
      <c r="C280" s="15" t="s">
        <v>31</v>
      </c>
      <c r="D280" s="4" t="s">
        <v>310</v>
      </c>
      <c r="E280" s="2" t="s">
        <v>13</v>
      </c>
      <c r="F280" s="13">
        <v>2</v>
      </c>
      <c r="G280" s="14" t="s">
        <v>23</v>
      </c>
      <c r="H280" s="2" t="s">
        <v>19</v>
      </c>
      <c r="I280" s="2">
        <v>4.3</v>
      </c>
      <c r="J280" s="2">
        <v>25</v>
      </c>
      <c r="K280" s="2">
        <f t="shared" si="8"/>
        <v>1.08</v>
      </c>
      <c r="L280" s="2">
        <f t="shared" si="9"/>
        <v>0.43</v>
      </c>
    </row>
    <row r="281" spans="1:12" x14ac:dyDescent="0.3">
      <c r="A281" s="7">
        <v>280</v>
      </c>
      <c r="B281" s="39">
        <v>45828</v>
      </c>
      <c r="C281" s="8" t="s">
        <v>16</v>
      </c>
      <c r="D281" s="9" t="s">
        <v>311</v>
      </c>
      <c r="E281" s="7" t="s">
        <v>36</v>
      </c>
      <c r="F281" s="16">
        <v>3</v>
      </c>
      <c r="G281" s="17" t="s">
        <v>34</v>
      </c>
      <c r="H281" s="7" t="s">
        <v>27</v>
      </c>
      <c r="I281" s="7">
        <v>15</v>
      </c>
      <c r="J281" s="7">
        <v>16</v>
      </c>
      <c r="K281" s="7">
        <f t="shared" si="8"/>
        <v>2.4</v>
      </c>
      <c r="L281" s="7">
        <f t="shared" si="9"/>
        <v>0.96</v>
      </c>
    </row>
    <row r="282" spans="1:12" x14ac:dyDescent="0.3">
      <c r="A282" s="2">
        <v>281</v>
      </c>
      <c r="B282" s="38">
        <v>45701</v>
      </c>
      <c r="C282" s="3" t="s">
        <v>11</v>
      </c>
      <c r="D282" s="4" t="s">
        <v>312</v>
      </c>
      <c r="E282" s="2" t="s">
        <v>29</v>
      </c>
      <c r="F282" s="10">
        <v>5</v>
      </c>
      <c r="G282" s="11" t="s">
        <v>18</v>
      </c>
      <c r="H282" s="2" t="s">
        <v>19</v>
      </c>
      <c r="I282" s="2">
        <v>114.1</v>
      </c>
      <c r="J282" s="2">
        <v>13</v>
      </c>
      <c r="K282" s="2">
        <f t="shared" si="8"/>
        <v>14.83</v>
      </c>
      <c r="L282" s="2">
        <f t="shared" si="9"/>
        <v>5.93</v>
      </c>
    </row>
    <row r="283" spans="1:12" x14ac:dyDescent="0.3">
      <c r="A283" s="7">
        <v>282</v>
      </c>
      <c r="B283" s="39">
        <v>45677</v>
      </c>
      <c r="C283" s="12" t="s">
        <v>20</v>
      </c>
      <c r="D283" s="9" t="s">
        <v>313</v>
      </c>
      <c r="E283" s="7" t="s">
        <v>22</v>
      </c>
      <c r="F283" s="10">
        <v>5</v>
      </c>
      <c r="G283" s="11" t="s">
        <v>18</v>
      </c>
      <c r="H283" s="7" t="s">
        <v>24</v>
      </c>
      <c r="I283" s="7">
        <v>95.2</v>
      </c>
      <c r="J283" s="7">
        <v>17</v>
      </c>
      <c r="K283" s="7">
        <f t="shared" si="8"/>
        <v>16.18</v>
      </c>
      <c r="L283" s="7">
        <f t="shared" si="9"/>
        <v>6.47</v>
      </c>
    </row>
    <row r="284" spans="1:12" x14ac:dyDescent="0.3">
      <c r="A284" s="2">
        <v>283</v>
      </c>
      <c r="B284" s="38">
        <v>45794</v>
      </c>
      <c r="C284" s="15" t="s">
        <v>31</v>
      </c>
      <c r="D284" s="4" t="s">
        <v>314</v>
      </c>
      <c r="E284" s="2" t="s">
        <v>46</v>
      </c>
      <c r="F284" s="10">
        <v>5</v>
      </c>
      <c r="G284" s="11" t="s">
        <v>18</v>
      </c>
      <c r="H284" s="2" t="s">
        <v>15</v>
      </c>
      <c r="I284" s="2">
        <v>97.4</v>
      </c>
      <c r="J284" s="2">
        <v>28</v>
      </c>
      <c r="K284" s="2">
        <f t="shared" si="8"/>
        <v>27.27</v>
      </c>
      <c r="L284" s="2">
        <f t="shared" si="9"/>
        <v>10.91</v>
      </c>
    </row>
    <row r="285" spans="1:12" x14ac:dyDescent="0.3">
      <c r="A285" s="7">
        <v>284</v>
      </c>
      <c r="B285" s="39">
        <v>45719</v>
      </c>
      <c r="C285" s="8" t="s">
        <v>16</v>
      </c>
      <c r="D285" s="9" t="s">
        <v>315</v>
      </c>
      <c r="E285" s="7" t="s">
        <v>22</v>
      </c>
      <c r="F285" s="10">
        <v>5</v>
      </c>
      <c r="G285" s="11" t="s">
        <v>18</v>
      </c>
      <c r="H285" s="7" t="s">
        <v>15</v>
      </c>
      <c r="I285" s="7">
        <v>104.1</v>
      </c>
      <c r="J285" s="7">
        <v>11</v>
      </c>
      <c r="K285" s="7">
        <f t="shared" si="8"/>
        <v>11.45</v>
      </c>
      <c r="L285" s="7">
        <f t="shared" si="9"/>
        <v>4.58</v>
      </c>
    </row>
    <row r="286" spans="1:12" x14ac:dyDescent="0.3">
      <c r="A286" s="2">
        <v>285</v>
      </c>
      <c r="B286" s="38">
        <v>45775</v>
      </c>
      <c r="C286" s="8" t="s">
        <v>16</v>
      </c>
      <c r="D286" s="4" t="s">
        <v>316</v>
      </c>
      <c r="E286" s="2" t="s">
        <v>33</v>
      </c>
      <c r="F286" s="5">
        <v>4</v>
      </c>
      <c r="G286" s="6" t="s">
        <v>14</v>
      </c>
      <c r="H286" s="2" t="s">
        <v>27</v>
      </c>
      <c r="I286" s="2">
        <v>57.7</v>
      </c>
      <c r="J286" s="2">
        <v>12</v>
      </c>
      <c r="K286" s="2">
        <f t="shared" si="8"/>
        <v>6.92</v>
      </c>
      <c r="L286" s="2">
        <f t="shared" si="9"/>
        <v>2.77</v>
      </c>
    </row>
    <row r="287" spans="1:12" x14ac:dyDescent="0.3">
      <c r="A287" s="7">
        <v>286</v>
      </c>
      <c r="B287" s="39">
        <v>45791</v>
      </c>
      <c r="C287" s="8" t="s">
        <v>16</v>
      </c>
      <c r="D287" s="9" t="s">
        <v>317</v>
      </c>
      <c r="E287" s="7" t="s">
        <v>33</v>
      </c>
      <c r="F287" s="10">
        <v>5</v>
      </c>
      <c r="G287" s="11" t="s">
        <v>18</v>
      </c>
      <c r="H287" s="7" t="s">
        <v>24</v>
      </c>
      <c r="I287" s="7">
        <v>73.3</v>
      </c>
      <c r="J287" s="7">
        <v>12</v>
      </c>
      <c r="K287" s="7">
        <f t="shared" si="8"/>
        <v>8.8000000000000007</v>
      </c>
      <c r="L287" s="7">
        <f t="shared" si="9"/>
        <v>3.52</v>
      </c>
    </row>
    <row r="288" spans="1:12" x14ac:dyDescent="0.3">
      <c r="A288" s="2">
        <v>287</v>
      </c>
      <c r="B288" s="38">
        <v>45661</v>
      </c>
      <c r="C288" s="8" t="s">
        <v>16</v>
      </c>
      <c r="D288" s="4" t="s">
        <v>318</v>
      </c>
      <c r="E288" s="2" t="s">
        <v>22</v>
      </c>
      <c r="F288" s="16">
        <v>3</v>
      </c>
      <c r="G288" s="17" t="s">
        <v>34</v>
      </c>
      <c r="H288" s="2" t="s">
        <v>19</v>
      </c>
      <c r="I288" s="2">
        <v>17.7</v>
      </c>
      <c r="J288" s="2">
        <v>14</v>
      </c>
      <c r="K288" s="2">
        <f t="shared" si="8"/>
        <v>2.48</v>
      </c>
      <c r="L288" s="2">
        <f t="shared" si="9"/>
        <v>0.99</v>
      </c>
    </row>
    <row r="289" spans="1:12" x14ac:dyDescent="0.3">
      <c r="A289" s="7">
        <v>288</v>
      </c>
      <c r="B289" s="39">
        <v>45687</v>
      </c>
      <c r="C289" s="12" t="s">
        <v>20</v>
      </c>
      <c r="D289" s="9" t="s">
        <v>319</v>
      </c>
      <c r="E289" s="7" t="s">
        <v>36</v>
      </c>
      <c r="F289" s="10">
        <v>5</v>
      </c>
      <c r="G289" s="11" t="s">
        <v>18</v>
      </c>
      <c r="H289" s="7" t="s">
        <v>27</v>
      </c>
      <c r="I289" s="7">
        <v>70.5</v>
      </c>
      <c r="J289" s="7">
        <v>16</v>
      </c>
      <c r="K289" s="7">
        <f t="shared" si="8"/>
        <v>11.28</v>
      </c>
      <c r="L289" s="7">
        <f t="shared" si="9"/>
        <v>4.51</v>
      </c>
    </row>
    <row r="290" spans="1:12" x14ac:dyDescent="0.3">
      <c r="A290" s="2">
        <v>289</v>
      </c>
      <c r="B290" s="38">
        <v>45742</v>
      </c>
      <c r="C290" s="15" t="s">
        <v>31</v>
      </c>
      <c r="D290" s="4" t="s">
        <v>320</v>
      </c>
      <c r="E290" s="2" t="s">
        <v>29</v>
      </c>
      <c r="F290" s="5">
        <v>4</v>
      </c>
      <c r="G290" s="6" t="s">
        <v>14</v>
      </c>
      <c r="H290" s="2" t="s">
        <v>24</v>
      </c>
      <c r="I290" s="2">
        <v>46.2</v>
      </c>
      <c r="J290" s="2">
        <v>25</v>
      </c>
      <c r="K290" s="2">
        <f t="shared" si="8"/>
        <v>11.55</v>
      </c>
      <c r="L290" s="2">
        <f t="shared" si="9"/>
        <v>4.62</v>
      </c>
    </row>
    <row r="291" spans="1:12" x14ac:dyDescent="0.3">
      <c r="A291" s="7">
        <v>290</v>
      </c>
      <c r="B291" s="39">
        <v>45784</v>
      </c>
      <c r="C291" s="15" t="s">
        <v>31</v>
      </c>
      <c r="D291" s="9" t="s">
        <v>321</v>
      </c>
      <c r="E291" s="7" t="s">
        <v>13</v>
      </c>
      <c r="F291" s="10">
        <v>5</v>
      </c>
      <c r="G291" s="11" t="s">
        <v>18</v>
      </c>
      <c r="H291" s="7" t="s">
        <v>15</v>
      </c>
      <c r="I291" s="7">
        <v>138</v>
      </c>
      <c r="J291" s="7">
        <v>22</v>
      </c>
      <c r="K291" s="7">
        <f t="shared" si="8"/>
        <v>30.36</v>
      </c>
      <c r="L291" s="7">
        <f t="shared" si="9"/>
        <v>12.14</v>
      </c>
    </row>
    <row r="292" spans="1:12" x14ac:dyDescent="0.3">
      <c r="A292" s="2">
        <v>291</v>
      </c>
      <c r="B292" s="38">
        <v>45676</v>
      </c>
      <c r="C292" s="12" t="s">
        <v>20</v>
      </c>
      <c r="D292" s="4" t="s">
        <v>322</v>
      </c>
      <c r="E292" s="2" t="s">
        <v>13</v>
      </c>
      <c r="F292" s="5">
        <v>4</v>
      </c>
      <c r="G292" s="6" t="s">
        <v>14</v>
      </c>
      <c r="H292" s="2" t="s">
        <v>48</v>
      </c>
      <c r="I292" s="2">
        <v>29.6</v>
      </c>
      <c r="J292" s="2">
        <v>12</v>
      </c>
      <c r="K292" s="2">
        <f t="shared" si="8"/>
        <v>3.55</v>
      </c>
      <c r="L292" s="2">
        <f t="shared" si="9"/>
        <v>1.42</v>
      </c>
    </row>
    <row r="293" spans="1:12" x14ac:dyDescent="0.3">
      <c r="A293" s="7">
        <v>292</v>
      </c>
      <c r="B293" s="39">
        <v>45743</v>
      </c>
      <c r="C293" s="12" t="s">
        <v>20</v>
      </c>
      <c r="D293" s="9" t="s">
        <v>323</v>
      </c>
      <c r="E293" s="7" t="s">
        <v>44</v>
      </c>
      <c r="F293" s="10">
        <v>5</v>
      </c>
      <c r="G293" s="11" t="s">
        <v>18</v>
      </c>
      <c r="H293" s="7" t="s">
        <v>19</v>
      </c>
      <c r="I293" s="7">
        <v>50.5</v>
      </c>
      <c r="J293" s="7">
        <v>17</v>
      </c>
      <c r="K293" s="7">
        <f t="shared" si="8"/>
        <v>8.59</v>
      </c>
      <c r="L293" s="7">
        <f t="shared" si="9"/>
        <v>3.44</v>
      </c>
    </row>
    <row r="294" spans="1:12" x14ac:dyDescent="0.3">
      <c r="A294" s="2">
        <v>293</v>
      </c>
      <c r="B294" s="38">
        <v>45825</v>
      </c>
      <c r="C294" s="15" t="s">
        <v>31</v>
      </c>
      <c r="D294" s="4" t="s">
        <v>324</v>
      </c>
      <c r="E294" s="2" t="s">
        <v>46</v>
      </c>
      <c r="F294" s="16">
        <v>3</v>
      </c>
      <c r="G294" s="17" t="s">
        <v>34</v>
      </c>
      <c r="H294" s="2" t="s">
        <v>27</v>
      </c>
      <c r="I294" s="2">
        <v>8.1</v>
      </c>
      <c r="J294" s="2">
        <v>26</v>
      </c>
      <c r="K294" s="2">
        <f t="shared" si="8"/>
        <v>2.11</v>
      </c>
      <c r="L294" s="2">
        <f t="shared" si="9"/>
        <v>0.84</v>
      </c>
    </row>
    <row r="295" spans="1:12" x14ac:dyDescent="0.3">
      <c r="A295" s="7">
        <v>294</v>
      </c>
      <c r="B295" s="39">
        <v>45659</v>
      </c>
      <c r="C295" s="18" t="s">
        <v>40</v>
      </c>
      <c r="D295" s="9" t="s">
        <v>325</v>
      </c>
      <c r="E295" s="7" t="s">
        <v>44</v>
      </c>
      <c r="F295" s="5">
        <v>4</v>
      </c>
      <c r="G295" s="6" t="s">
        <v>14</v>
      </c>
      <c r="H295" s="7" t="s">
        <v>24</v>
      </c>
      <c r="I295" s="7">
        <v>39.1</v>
      </c>
      <c r="J295" s="7">
        <v>15</v>
      </c>
      <c r="K295" s="7">
        <f t="shared" si="8"/>
        <v>5.87</v>
      </c>
      <c r="L295" s="7">
        <f t="shared" si="9"/>
        <v>2.35</v>
      </c>
    </row>
    <row r="296" spans="1:12" x14ac:dyDescent="0.3">
      <c r="A296" s="2">
        <v>295</v>
      </c>
      <c r="B296" s="38">
        <v>45803</v>
      </c>
      <c r="C296" s="15" t="s">
        <v>31</v>
      </c>
      <c r="D296" s="4" t="s">
        <v>326</v>
      </c>
      <c r="E296" s="2" t="s">
        <v>36</v>
      </c>
      <c r="F296" s="5">
        <v>4</v>
      </c>
      <c r="G296" s="6" t="s">
        <v>14</v>
      </c>
      <c r="H296" s="2" t="s">
        <v>19</v>
      </c>
      <c r="I296" s="2">
        <v>56.3</v>
      </c>
      <c r="J296" s="2">
        <v>19</v>
      </c>
      <c r="K296" s="2">
        <f t="shared" si="8"/>
        <v>10.7</v>
      </c>
      <c r="L296" s="2">
        <f t="shared" si="9"/>
        <v>4.28</v>
      </c>
    </row>
    <row r="297" spans="1:12" x14ac:dyDescent="0.3">
      <c r="A297" s="7">
        <v>296</v>
      </c>
      <c r="B297" s="39">
        <v>45832</v>
      </c>
      <c r="C297" s="12" t="s">
        <v>20</v>
      </c>
      <c r="D297" s="9" t="s">
        <v>327</v>
      </c>
      <c r="E297" s="7" t="s">
        <v>44</v>
      </c>
      <c r="F297" s="5">
        <v>4</v>
      </c>
      <c r="G297" s="6" t="s">
        <v>14</v>
      </c>
      <c r="H297" s="7" t="s">
        <v>19</v>
      </c>
      <c r="I297" s="7">
        <v>56.5</v>
      </c>
      <c r="J297" s="7">
        <v>14</v>
      </c>
      <c r="K297" s="7">
        <f t="shared" si="8"/>
        <v>7.91</v>
      </c>
      <c r="L297" s="7">
        <f t="shared" si="9"/>
        <v>3.16</v>
      </c>
    </row>
    <row r="298" spans="1:12" x14ac:dyDescent="0.3">
      <c r="A298" s="2">
        <v>297</v>
      </c>
      <c r="B298" s="38">
        <v>45794</v>
      </c>
      <c r="C298" s="18" t="s">
        <v>40</v>
      </c>
      <c r="D298" s="4" t="s">
        <v>328</v>
      </c>
      <c r="E298" s="2" t="s">
        <v>33</v>
      </c>
      <c r="F298" s="16">
        <v>3</v>
      </c>
      <c r="G298" s="17" t="s">
        <v>34</v>
      </c>
      <c r="H298" s="2" t="s">
        <v>19</v>
      </c>
      <c r="I298" s="2">
        <v>25</v>
      </c>
      <c r="J298" s="2">
        <v>18</v>
      </c>
      <c r="K298" s="2">
        <f t="shared" si="8"/>
        <v>4.5</v>
      </c>
      <c r="L298" s="2">
        <f t="shared" si="9"/>
        <v>1.8</v>
      </c>
    </row>
    <row r="299" spans="1:12" x14ac:dyDescent="0.3">
      <c r="A299" s="7">
        <v>298</v>
      </c>
      <c r="B299" s="39">
        <v>45728</v>
      </c>
      <c r="C299" s="8" t="s">
        <v>16</v>
      </c>
      <c r="D299" s="9" t="s">
        <v>329</v>
      </c>
      <c r="E299" s="7" t="s">
        <v>36</v>
      </c>
      <c r="F299" s="16">
        <v>3</v>
      </c>
      <c r="G299" s="17" t="s">
        <v>34</v>
      </c>
      <c r="H299" s="7" t="s">
        <v>15</v>
      </c>
      <c r="I299" s="7">
        <v>22.9</v>
      </c>
      <c r="J299" s="7">
        <v>10</v>
      </c>
      <c r="K299" s="7">
        <f t="shared" si="8"/>
        <v>2.29</v>
      </c>
      <c r="L299" s="7">
        <f t="shared" si="9"/>
        <v>0.92</v>
      </c>
    </row>
    <row r="300" spans="1:12" x14ac:dyDescent="0.3">
      <c r="A300" s="2">
        <v>299</v>
      </c>
      <c r="B300" s="38">
        <v>45820</v>
      </c>
      <c r="C300" s="3" t="s">
        <v>11</v>
      </c>
      <c r="D300" s="4" t="s">
        <v>330</v>
      </c>
      <c r="E300" s="2" t="s">
        <v>46</v>
      </c>
      <c r="F300" s="5">
        <v>4</v>
      </c>
      <c r="G300" s="6" t="s">
        <v>14</v>
      </c>
      <c r="H300" s="2" t="s">
        <v>15</v>
      </c>
      <c r="I300" s="2">
        <v>31.4</v>
      </c>
      <c r="J300" s="2">
        <v>17</v>
      </c>
      <c r="K300" s="2">
        <f t="shared" si="8"/>
        <v>5.34</v>
      </c>
      <c r="L300" s="2">
        <f t="shared" si="9"/>
        <v>2.14</v>
      </c>
    </row>
    <row r="301" spans="1:12" x14ac:dyDescent="0.3">
      <c r="A301" s="7">
        <v>300</v>
      </c>
      <c r="B301" s="39">
        <v>45661</v>
      </c>
      <c r="C301" s="12" t="s">
        <v>20</v>
      </c>
      <c r="D301" s="9" t="s">
        <v>331</v>
      </c>
      <c r="E301" s="7" t="s">
        <v>29</v>
      </c>
      <c r="F301" s="5">
        <v>4</v>
      </c>
      <c r="G301" s="6" t="s">
        <v>14</v>
      </c>
      <c r="H301" s="7" t="s">
        <v>27</v>
      </c>
      <c r="I301" s="7">
        <v>52.4</v>
      </c>
      <c r="J301" s="7">
        <v>17</v>
      </c>
      <c r="K301" s="7">
        <f t="shared" si="8"/>
        <v>8.91</v>
      </c>
      <c r="L301" s="7">
        <f t="shared" si="9"/>
        <v>3.56</v>
      </c>
    </row>
    <row r="302" spans="1:12" x14ac:dyDescent="0.3">
      <c r="A302" s="2">
        <v>301</v>
      </c>
      <c r="B302" s="38">
        <v>45807</v>
      </c>
      <c r="C302" s="3" t="s">
        <v>11</v>
      </c>
      <c r="D302" s="4" t="s">
        <v>332</v>
      </c>
      <c r="E302" s="2" t="s">
        <v>26</v>
      </c>
      <c r="F302" s="5">
        <v>4</v>
      </c>
      <c r="G302" s="6" t="s">
        <v>14</v>
      </c>
      <c r="H302" s="2" t="s">
        <v>15</v>
      </c>
      <c r="I302" s="2">
        <v>48.7</v>
      </c>
      <c r="J302" s="2">
        <v>10</v>
      </c>
      <c r="K302" s="2">
        <f t="shared" si="8"/>
        <v>4.87</v>
      </c>
      <c r="L302" s="2">
        <f t="shared" si="9"/>
        <v>1.95</v>
      </c>
    </row>
    <row r="303" spans="1:12" x14ac:dyDescent="0.3">
      <c r="A303" s="7">
        <v>302</v>
      </c>
      <c r="B303" s="39">
        <v>45739</v>
      </c>
      <c r="C303" s="3" t="s">
        <v>11</v>
      </c>
      <c r="D303" s="9" t="s">
        <v>333</v>
      </c>
      <c r="E303" s="7" t="s">
        <v>44</v>
      </c>
      <c r="F303" s="10">
        <v>5</v>
      </c>
      <c r="G303" s="11" t="s">
        <v>18</v>
      </c>
      <c r="H303" s="7" t="s">
        <v>48</v>
      </c>
      <c r="I303" s="7">
        <v>110.8</v>
      </c>
      <c r="J303" s="7">
        <v>13</v>
      </c>
      <c r="K303" s="7">
        <f t="shared" si="8"/>
        <v>14.4</v>
      </c>
      <c r="L303" s="7">
        <f t="shared" si="9"/>
        <v>5.76</v>
      </c>
    </row>
    <row r="304" spans="1:12" x14ac:dyDescent="0.3">
      <c r="A304" s="2">
        <v>303</v>
      </c>
      <c r="B304" s="38">
        <v>45763</v>
      </c>
      <c r="C304" s="8" t="s">
        <v>16</v>
      </c>
      <c r="D304" s="4" t="s">
        <v>334</v>
      </c>
      <c r="E304" s="2" t="s">
        <v>13</v>
      </c>
      <c r="F304" s="10">
        <v>5</v>
      </c>
      <c r="G304" s="11" t="s">
        <v>18</v>
      </c>
      <c r="H304" s="2" t="s">
        <v>24</v>
      </c>
      <c r="I304" s="2">
        <v>126.8</v>
      </c>
      <c r="J304" s="2">
        <v>14</v>
      </c>
      <c r="K304" s="2">
        <f t="shared" si="8"/>
        <v>17.75</v>
      </c>
      <c r="L304" s="2">
        <f t="shared" si="9"/>
        <v>7.1</v>
      </c>
    </row>
    <row r="305" spans="1:12" x14ac:dyDescent="0.3">
      <c r="A305" s="7">
        <v>304</v>
      </c>
      <c r="B305" s="39">
        <v>45724</v>
      </c>
      <c r="C305" s="15" t="s">
        <v>31</v>
      </c>
      <c r="D305" s="9" t="s">
        <v>335</v>
      </c>
      <c r="E305" s="7" t="s">
        <v>29</v>
      </c>
      <c r="F305" s="5">
        <v>4</v>
      </c>
      <c r="G305" s="6" t="s">
        <v>14</v>
      </c>
      <c r="H305" s="7" t="s">
        <v>19</v>
      </c>
      <c r="I305" s="7">
        <v>27.4</v>
      </c>
      <c r="J305" s="7">
        <v>20</v>
      </c>
      <c r="K305" s="7">
        <f t="shared" si="8"/>
        <v>5.48</v>
      </c>
      <c r="L305" s="7">
        <f t="shared" si="9"/>
        <v>2.19</v>
      </c>
    </row>
    <row r="306" spans="1:12" x14ac:dyDescent="0.3">
      <c r="A306" s="2">
        <v>305</v>
      </c>
      <c r="B306" s="38">
        <v>45700</v>
      </c>
      <c r="C306" s="12" t="s">
        <v>20</v>
      </c>
      <c r="D306" s="4" t="s">
        <v>336</v>
      </c>
      <c r="E306" s="2" t="s">
        <v>22</v>
      </c>
      <c r="F306" s="10">
        <v>5</v>
      </c>
      <c r="G306" s="11" t="s">
        <v>18</v>
      </c>
      <c r="H306" s="2" t="s">
        <v>19</v>
      </c>
      <c r="I306" s="2">
        <v>67.400000000000006</v>
      </c>
      <c r="J306" s="2">
        <v>15</v>
      </c>
      <c r="K306" s="2">
        <f t="shared" si="8"/>
        <v>10.11</v>
      </c>
      <c r="L306" s="2">
        <f t="shared" si="9"/>
        <v>4.04</v>
      </c>
    </row>
    <row r="307" spans="1:12" x14ac:dyDescent="0.3">
      <c r="A307" s="7">
        <v>306</v>
      </c>
      <c r="B307" s="39">
        <v>45692</v>
      </c>
      <c r="C307" s="15" t="s">
        <v>31</v>
      </c>
      <c r="D307" s="9" t="s">
        <v>337</v>
      </c>
      <c r="E307" s="7" t="s">
        <v>36</v>
      </c>
      <c r="F307" s="10">
        <v>5</v>
      </c>
      <c r="G307" s="11" t="s">
        <v>18</v>
      </c>
      <c r="H307" s="7" t="s">
        <v>15</v>
      </c>
      <c r="I307" s="7">
        <v>101.2</v>
      </c>
      <c r="J307" s="7">
        <v>27</v>
      </c>
      <c r="K307" s="7">
        <f t="shared" si="8"/>
        <v>27.32</v>
      </c>
      <c r="L307" s="7">
        <f t="shared" si="9"/>
        <v>10.93</v>
      </c>
    </row>
    <row r="308" spans="1:12" x14ac:dyDescent="0.3">
      <c r="A308" s="2">
        <v>307</v>
      </c>
      <c r="B308" s="38">
        <v>45808</v>
      </c>
      <c r="C308" s="3" t="s">
        <v>11</v>
      </c>
      <c r="D308" s="4" t="s">
        <v>338</v>
      </c>
      <c r="E308" s="2" t="s">
        <v>44</v>
      </c>
      <c r="F308" s="10">
        <v>5</v>
      </c>
      <c r="G308" s="11" t="s">
        <v>18</v>
      </c>
      <c r="H308" s="2" t="s">
        <v>27</v>
      </c>
      <c r="I308" s="2">
        <v>46.5</v>
      </c>
      <c r="J308" s="2">
        <v>11</v>
      </c>
      <c r="K308" s="2">
        <f t="shared" si="8"/>
        <v>5.12</v>
      </c>
      <c r="L308" s="2">
        <f t="shared" si="9"/>
        <v>2.0499999999999998</v>
      </c>
    </row>
    <row r="309" spans="1:12" x14ac:dyDescent="0.3">
      <c r="A309" s="7">
        <v>308</v>
      </c>
      <c r="B309" s="39">
        <v>45670</v>
      </c>
      <c r="C309" s="15" t="s">
        <v>31</v>
      </c>
      <c r="D309" s="9" t="s">
        <v>339</v>
      </c>
      <c r="E309" s="7" t="s">
        <v>36</v>
      </c>
      <c r="F309" s="16">
        <v>3</v>
      </c>
      <c r="G309" s="17" t="s">
        <v>34</v>
      </c>
      <c r="H309" s="7" t="s">
        <v>48</v>
      </c>
      <c r="I309" s="7">
        <v>23.7</v>
      </c>
      <c r="J309" s="7">
        <v>22</v>
      </c>
      <c r="K309" s="7">
        <f t="shared" si="8"/>
        <v>5.21</v>
      </c>
      <c r="L309" s="7">
        <f t="shared" si="9"/>
        <v>2.08</v>
      </c>
    </row>
    <row r="310" spans="1:12" x14ac:dyDescent="0.3">
      <c r="A310" s="2">
        <v>309</v>
      </c>
      <c r="B310" s="38">
        <v>45759</v>
      </c>
      <c r="C310" s="12" t="s">
        <v>20</v>
      </c>
      <c r="D310" s="4" t="s">
        <v>340</v>
      </c>
      <c r="E310" s="2" t="s">
        <v>46</v>
      </c>
      <c r="F310" s="10">
        <v>5</v>
      </c>
      <c r="G310" s="11" t="s">
        <v>18</v>
      </c>
      <c r="H310" s="2" t="s">
        <v>15</v>
      </c>
      <c r="I310" s="2">
        <v>78.599999999999994</v>
      </c>
      <c r="J310" s="2">
        <v>15</v>
      </c>
      <c r="K310" s="2">
        <f t="shared" si="8"/>
        <v>11.79</v>
      </c>
      <c r="L310" s="2">
        <f t="shared" si="9"/>
        <v>4.72</v>
      </c>
    </row>
    <row r="311" spans="1:12" x14ac:dyDescent="0.3">
      <c r="A311" s="7">
        <v>310</v>
      </c>
      <c r="B311" s="39">
        <v>45667</v>
      </c>
      <c r="C311" s="15" t="s">
        <v>31</v>
      </c>
      <c r="D311" s="9" t="s">
        <v>341</v>
      </c>
      <c r="E311" s="7" t="s">
        <v>33</v>
      </c>
      <c r="F311" s="5">
        <v>4</v>
      </c>
      <c r="G311" s="6" t="s">
        <v>14</v>
      </c>
      <c r="H311" s="7" t="s">
        <v>24</v>
      </c>
      <c r="I311" s="7">
        <v>49.9</v>
      </c>
      <c r="J311" s="7">
        <v>27</v>
      </c>
      <c r="K311" s="7">
        <f t="shared" si="8"/>
        <v>13.47</v>
      </c>
      <c r="L311" s="7">
        <f t="shared" si="9"/>
        <v>5.39</v>
      </c>
    </row>
    <row r="312" spans="1:12" x14ac:dyDescent="0.3">
      <c r="A312" s="2">
        <v>311</v>
      </c>
      <c r="B312" s="38">
        <v>45670</v>
      </c>
      <c r="C312" s="15" t="s">
        <v>31</v>
      </c>
      <c r="D312" s="4" t="s">
        <v>342</v>
      </c>
      <c r="E312" s="2" t="s">
        <v>44</v>
      </c>
      <c r="F312" s="10">
        <v>5</v>
      </c>
      <c r="G312" s="11" t="s">
        <v>18</v>
      </c>
      <c r="H312" s="2" t="s">
        <v>24</v>
      </c>
      <c r="I312" s="2">
        <v>119.5</v>
      </c>
      <c r="J312" s="2">
        <v>28</v>
      </c>
      <c r="K312" s="2">
        <f t="shared" si="8"/>
        <v>33.46</v>
      </c>
      <c r="L312" s="2">
        <f t="shared" si="9"/>
        <v>13.38</v>
      </c>
    </row>
    <row r="313" spans="1:12" x14ac:dyDescent="0.3">
      <c r="A313" s="7">
        <v>312</v>
      </c>
      <c r="B313" s="39">
        <v>45745</v>
      </c>
      <c r="C313" s="12" t="s">
        <v>20</v>
      </c>
      <c r="D313" s="9" t="s">
        <v>343</v>
      </c>
      <c r="E313" s="7" t="s">
        <v>44</v>
      </c>
      <c r="F313" s="10">
        <v>5</v>
      </c>
      <c r="G313" s="11" t="s">
        <v>18</v>
      </c>
      <c r="H313" s="7" t="s">
        <v>48</v>
      </c>
      <c r="I313" s="7">
        <v>131.69999999999999</v>
      </c>
      <c r="J313" s="7">
        <v>13</v>
      </c>
      <c r="K313" s="7">
        <f t="shared" si="8"/>
        <v>17.12</v>
      </c>
      <c r="L313" s="7">
        <f t="shared" si="9"/>
        <v>6.85</v>
      </c>
    </row>
    <row r="314" spans="1:12" x14ac:dyDescent="0.3">
      <c r="A314" s="2">
        <v>313</v>
      </c>
      <c r="B314" s="38">
        <v>45788</v>
      </c>
      <c r="C314" s="15" t="s">
        <v>31</v>
      </c>
      <c r="D314" s="4" t="s">
        <v>344</v>
      </c>
      <c r="E314" s="2" t="s">
        <v>46</v>
      </c>
      <c r="F314" s="5">
        <v>4</v>
      </c>
      <c r="G314" s="6" t="s">
        <v>14</v>
      </c>
      <c r="H314" s="2" t="s">
        <v>15</v>
      </c>
      <c r="I314" s="2">
        <v>23.1</v>
      </c>
      <c r="J314" s="2">
        <v>27</v>
      </c>
      <c r="K314" s="2">
        <f t="shared" si="8"/>
        <v>6.24</v>
      </c>
      <c r="L314" s="2">
        <f t="shared" si="9"/>
        <v>2.5</v>
      </c>
    </row>
    <row r="315" spans="1:12" x14ac:dyDescent="0.3">
      <c r="A315" s="7">
        <v>314</v>
      </c>
      <c r="B315" s="39">
        <v>45716</v>
      </c>
      <c r="C315" s="8" t="s">
        <v>16</v>
      </c>
      <c r="D315" s="9" t="s">
        <v>345</v>
      </c>
      <c r="E315" s="7" t="s">
        <v>46</v>
      </c>
      <c r="F315" s="10">
        <v>5</v>
      </c>
      <c r="G315" s="11" t="s">
        <v>18</v>
      </c>
      <c r="H315" s="7" t="s">
        <v>48</v>
      </c>
      <c r="I315" s="7">
        <v>61.2</v>
      </c>
      <c r="J315" s="7">
        <v>14</v>
      </c>
      <c r="K315" s="7">
        <f t="shared" si="8"/>
        <v>8.57</v>
      </c>
      <c r="L315" s="7">
        <f t="shared" si="9"/>
        <v>3.43</v>
      </c>
    </row>
    <row r="316" spans="1:12" x14ac:dyDescent="0.3">
      <c r="A316" s="2">
        <v>315</v>
      </c>
      <c r="B316" s="38">
        <v>45800</v>
      </c>
      <c r="C316" s="18" t="s">
        <v>40</v>
      </c>
      <c r="D316" s="4" t="s">
        <v>346</v>
      </c>
      <c r="E316" s="2" t="s">
        <v>44</v>
      </c>
      <c r="F316" s="5">
        <v>4</v>
      </c>
      <c r="G316" s="6" t="s">
        <v>14</v>
      </c>
      <c r="H316" s="2" t="s">
        <v>48</v>
      </c>
      <c r="I316" s="2">
        <v>37.700000000000003</v>
      </c>
      <c r="J316" s="2">
        <v>22</v>
      </c>
      <c r="K316" s="2">
        <f t="shared" si="8"/>
        <v>8.2899999999999991</v>
      </c>
      <c r="L316" s="2">
        <f t="shared" si="9"/>
        <v>3.32</v>
      </c>
    </row>
    <row r="317" spans="1:12" x14ac:dyDescent="0.3">
      <c r="A317" s="7">
        <v>316</v>
      </c>
      <c r="B317" s="39">
        <v>45732</v>
      </c>
      <c r="C317" s="8" t="s">
        <v>16</v>
      </c>
      <c r="D317" s="9" t="s">
        <v>347</v>
      </c>
      <c r="E317" s="7" t="s">
        <v>22</v>
      </c>
      <c r="F317" s="5">
        <v>4</v>
      </c>
      <c r="G317" s="6" t="s">
        <v>14</v>
      </c>
      <c r="H317" s="7" t="s">
        <v>19</v>
      </c>
      <c r="I317" s="7">
        <v>56</v>
      </c>
      <c r="J317" s="7">
        <v>13</v>
      </c>
      <c r="K317" s="7">
        <f t="shared" si="8"/>
        <v>7.28</v>
      </c>
      <c r="L317" s="7">
        <f t="shared" si="9"/>
        <v>2.91</v>
      </c>
    </row>
    <row r="318" spans="1:12" x14ac:dyDescent="0.3">
      <c r="A318" s="2">
        <v>317</v>
      </c>
      <c r="B318" s="38">
        <v>45698</v>
      </c>
      <c r="C318" s="15" t="s">
        <v>31</v>
      </c>
      <c r="D318" s="4" t="s">
        <v>348</v>
      </c>
      <c r="E318" s="2" t="s">
        <v>26</v>
      </c>
      <c r="F318" s="5">
        <v>4</v>
      </c>
      <c r="G318" s="6" t="s">
        <v>14</v>
      </c>
      <c r="H318" s="2" t="s">
        <v>48</v>
      </c>
      <c r="I318" s="2">
        <v>36.6</v>
      </c>
      <c r="J318" s="2">
        <v>27</v>
      </c>
      <c r="K318" s="2">
        <f t="shared" si="8"/>
        <v>9.8800000000000008</v>
      </c>
      <c r="L318" s="2">
        <f t="shared" si="9"/>
        <v>3.95</v>
      </c>
    </row>
    <row r="319" spans="1:12" x14ac:dyDescent="0.3">
      <c r="A319" s="7">
        <v>318</v>
      </c>
      <c r="B319" s="39">
        <v>45770</v>
      </c>
      <c r="C319" s="3" t="s">
        <v>11</v>
      </c>
      <c r="D319" s="9" t="s">
        <v>349</v>
      </c>
      <c r="E319" s="7" t="s">
        <v>46</v>
      </c>
      <c r="F319" s="5">
        <v>4</v>
      </c>
      <c r="G319" s="6" t="s">
        <v>14</v>
      </c>
      <c r="H319" s="7" t="s">
        <v>15</v>
      </c>
      <c r="I319" s="7">
        <v>48.9</v>
      </c>
      <c r="J319" s="7">
        <v>16</v>
      </c>
      <c r="K319" s="7">
        <f t="shared" si="8"/>
        <v>7.82</v>
      </c>
      <c r="L319" s="7">
        <f t="shared" si="9"/>
        <v>3.13</v>
      </c>
    </row>
    <row r="320" spans="1:12" x14ac:dyDescent="0.3">
      <c r="A320" s="2">
        <v>319</v>
      </c>
      <c r="B320" s="38">
        <v>45672</v>
      </c>
      <c r="C320" s="12" t="s">
        <v>20</v>
      </c>
      <c r="D320" s="4" t="s">
        <v>350</v>
      </c>
      <c r="E320" s="2" t="s">
        <v>13</v>
      </c>
      <c r="F320" s="10">
        <v>5</v>
      </c>
      <c r="G320" s="11" t="s">
        <v>18</v>
      </c>
      <c r="H320" s="2" t="s">
        <v>48</v>
      </c>
      <c r="I320" s="2">
        <v>47.7</v>
      </c>
      <c r="J320" s="2">
        <v>18</v>
      </c>
      <c r="K320" s="2">
        <f t="shared" si="8"/>
        <v>8.59</v>
      </c>
      <c r="L320" s="2">
        <f t="shared" si="9"/>
        <v>3.44</v>
      </c>
    </row>
    <row r="321" spans="1:12" x14ac:dyDescent="0.3">
      <c r="A321" s="7">
        <v>320</v>
      </c>
      <c r="B321" s="39">
        <v>45836</v>
      </c>
      <c r="C321" s="15" t="s">
        <v>31</v>
      </c>
      <c r="D321" s="9" t="s">
        <v>351</v>
      </c>
      <c r="E321" s="7" t="s">
        <v>29</v>
      </c>
      <c r="F321" s="5">
        <v>4</v>
      </c>
      <c r="G321" s="6" t="s">
        <v>14</v>
      </c>
      <c r="H321" s="7" t="s">
        <v>19</v>
      </c>
      <c r="I321" s="7">
        <v>57.4</v>
      </c>
      <c r="J321" s="7">
        <v>19</v>
      </c>
      <c r="K321" s="7">
        <f t="shared" si="8"/>
        <v>10.91</v>
      </c>
      <c r="L321" s="7">
        <f t="shared" si="9"/>
        <v>4.3600000000000003</v>
      </c>
    </row>
    <row r="322" spans="1:12" x14ac:dyDescent="0.3">
      <c r="A322" s="2">
        <v>321</v>
      </c>
      <c r="B322" s="38">
        <v>45764</v>
      </c>
      <c r="C322" s="12" t="s">
        <v>20</v>
      </c>
      <c r="D322" s="4" t="s">
        <v>352</v>
      </c>
      <c r="E322" s="2" t="s">
        <v>13</v>
      </c>
      <c r="F322" s="5">
        <v>4</v>
      </c>
      <c r="G322" s="6" t="s">
        <v>14</v>
      </c>
      <c r="H322" s="2" t="s">
        <v>27</v>
      </c>
      <c r="I322" s="2">
        <v>50.8</v>
      </c>
      <c r="J322" s="2">
        <v>18</v>
      </c>
      <c r="K322" s="2">
        <f t="shared" ref="K322:K385" si="10">ROUND(I322*J322/100,2)</f>
        <v>9.14</v>
      </c>
      <c r="L322" s="2">
        <f t="shared" ref="L322:L385" si="11">ROUND(K322*0.4,2)</f>
        <v>3.66</v>
      </c>
    </row>
    <row r="323" spans="1:12" x14ac:dyDescent="0.3">
      <c r="A323" s="7">
        <v>322</v>
      </c>
      <c r="B323" s="39">
        <v>45716</v>
      </c>
      <c r="C323" s="15" t="s">
        <v>31</v>
      </c>
      <c r="D323" s="9" t="s">
        <v>353</v>
      </c>
      <c r="E323" s="7" t="s">
        <v>44</v>
      </c>
      <c r="F323" s="5">
        <v>4</v>
      </c>
      <c r="G323" s="6" t="s">
        <v>14</v>
      </c>
      <c r="H323" s="7" t="s">
        <v>24</v>
      </c>
      <c r="I323" s="7">
        <v>35</v>
      </c>
      <c r="J323" s="7">
        <v>28</v>
      </c>
      <c r="K323" s="7">
        <f t="shared" si="10"/>
        <v>9.8000000000000007</v>
      </c>
      <c r="L323" s="7">
        <f t="shared" si="11"/>
        <v>3.92</v>
      </c>
    </row>
    <row r="324" spans="1:12" x14ac:dyDescent="0.3">
      <c r="A324" s="2">
        <v>323</v>
      </c>
      <c r="B324" s="38">
        <v>45706</v>
      </c>
      <c r="C324" s="18" t="s">
        <v>40</v>
      </c>
      <c r="D324" s="4" t="s">
        <v>354</v>
      </c>
      <c r="E324" s="2" t="s">
        <v>33</v>
      </c>
      <c r="F324" s="5">
        <v>4</v>
      </c>
      <c r="G324" s="6" t="s">
        <v>14</v>
      </c>
      <c r="H324" s="2" t="s">
        <v>15</v>
      </c>
      <c r="I324" s="2">
        <v>24.7</v>
      </c>
      <c r="J324" s="2">
        <v>20</v>
      </c>
      <c r="K324" s="2">
        <f t="shared" si="10"/>
        <v>4.9400000000000004</v>
      </c>
      <c r="L324" s="2">
        <f t="shared" si="11"/>
        <v>1.98</v>
      </c>
    </row>
    <row r="325" spans="1:12" x14ac:dyDescent="0.3">
      <c r="A325" s="7">
        <v>324</v>
      </c>
      <c r="B325" s="39">
        <v>45687</v>
      </c>
      <c r="C325" s="12" t="s">
        <v>20</v>
      </c>
      <c r="D325" s="9" t="s">
        <v>355</v>
      </c>
      <c r="E325" s="7" t="s">
        <v>29</v>
      </c>
      <c r="F325" s="16">
        <v>3</v>
      </c>
      <c r="G325" s="17" t="s">
        <v>34</v>
      </c>
      <c r="H325" s="7" t="s">
        <v>27</v>
      </c>
      <c r="I325" s="7">
        <v>22.2</v>
      </c>
      <c r="J325" s="7">
        <v>12</v>
      </c>
      <c r="K325" s="7">
        <f t="shared" si="10"/>
        <v>2.66</v>
      </c>
      <c r="L325" s="7">
        <f t="shared" si="11"/>
        <v>1.06</v>
      </c>
    </row>
    <row r="326" spans="1:12" x14ac:dyDescent="0.3">
      <c r="A326" s="2">
        <v>325</v>
      </c>
      <c r="B326" s="38">
        <v>45782</v>
      </c>
      <c r="C326" s="18" t="s">
        <v>40</v>
      </c>
      <c r="D326" s="4" t="s">
        <v>356</v>
      </c>
      <c r="E326" s="2" t="s">
        <v>46</v>
      </c>
      <c r="F326" s="10">
        <v>5</v>
      </c>
      <c r="G326" s="11" t="s">
        <v>18</v>
      </c>
      <c r="H326" s="2" t="s">
        <v>48</v>
      </c>
      <c r="I326" s="2">
        <v>84.5</v>
      </c>
      <c r="J326" s="2">
        <v>18</v>
      </c>
      <c r="K326" s="2">
        <f t="shared" si="10"/>
        <v>15.21</v>
      </c>
      <c r="L326" s="2">
        <f t="shared" si="11"/>
        <v>6.08</v>
      </c>
    </row>
    <row r="327" spans="1:12" x14ac:dyDescent="0.3">
      <c r="A327" s="7">
        <v>326</v>
      </c>
      <c r="B327" s="39">
        <v>45701</v>
      </c>
      <c r="C327" s="12" t="s">
        <v>20</v>
      </c>
      <c r="D327" s="9" t="s">
        <v>357</v>
      </c>
      <c r="E327" s="7" t="s">
        <v>44</v>
      </c>
      <c r="F327" s="5">
        <v>4</v>
      </c>
      <c r="G327" s="6" t="s">
        <v>14</v>
      </c>
      <c r="H327" s="7" t="s">
        <v>27</v>
      </c>
      <c r="I327" s="7">
        <v>31</v>
      </c>
      <c r="J327" s="7">
        <v>13</v>
      </c>
      <c r="K327" s="7">
        <f t="shared" si="10"/>
        <v>4.03</v>
      </c>
      <c r="L327" s="7">
        <f t="shared" si="11"/>
        <v>1.61</v>
      </c>
    </row>
    <row r="328" spans="1:12" x14ac:dyDescent="0.3">
      <c r="A328" s="2">
        <v>327</v>
      </c>
      <c r="B328" s="38">
        <v>45727</v>
      </c>
      <c r="C328" s="15" t="s">
        <v>31</v>
      </c>
      <c r="D328" s="4" t="s">
        <v>358</v>
      </c>
      <c r="E328" s="2" t="s">
        <v>44</v>
      </c>
      <c r="F328" s="5">
        <v>4</v>
      </c>
      <c r="G328" s="6" t="s">
        <v>14</v>
      </c>
      <c r="H328" s="2" t="s">
        <v>19</v>
      </c>
      <c r="I328" s="2">
        <v>29.6</v>
      </c>
      <c r="J328" s="2">
        <v>19</v>
      </c>
      <c r="K328" s="2">
        <f t="shared" si="10"/>
        <v>5.62</v>
      </c>
      <c r="L328" s="2">
        <f t="shared" si="11"/>
        <v>2.25</v>
      </c>
    </row>
    <row r="329" spans="1:12" x14ac:dyDescent="0.3">
      <c r="A329" s="7">
        <v>328</v>
      </c>
      <c r="B329" s="39">
        <v>45728</v>
      </c>
      <c r="C329" s="18" t="s">
        <v>40</v>
      </c>
      <c r="D329" s="9" t="s">
        <v>359</v>
      </c>
      <c r="E329" s="7" t="s">
        <v>26</v>
      </c>
      <c r="F329" s="13">
        <v>2</v>
      </c>
      <c r="G329" s="14" t="s">
        <v>23</v>
      </c>
      <c r="H329" s="7" t="s">
        <v>48</v>
      </c>
      <c r="I329" s="7">
        <v>7.7</v>
      </c>
      <c r="J329" s="7">
        <v>12</v>
      </c>
      <c r="K329" s="7">
        <f t="shared" si="10"/>
        <v>0.92</v>
      </c>
      <c r="L329" s="7">
        <f t="shared" si="11"/>
        <v>0.37</v>
      </c>
    </row>
    <row r="330" spans="1:12" x14ac:dyDescent="0.3">
      <c r="A330" s="2">
        <v>329</v>
      </c>
      <c r="B330" s="38">
        <v>45826</v>
      </c>
      <c r="C330" s="18" t="s">
        <v>40</v>
      </c>
      <c r="D330" s="4" t="s">
        <v>360</v>
      </c>
      <c r="E330" s="2" t="s">
        <v>13</v>
      </c>
      <c r="F330" s="13">
        <v>2</v>
      </c>
      <c r="G330" s="14" t="s">
        <v>23</v>
      </c>
      <c r="H330" s="2" t="s">
        <v>24</v>
      </c>
      <c r="I330" s="2">
        <v>4.5999999999999996</v>
      </c>
      <c r="J330" s="2">
        <v>15</v>
      </c>
      <c r="K330" s="2">
        <f t="shared" si="10"/>
        <v>0.69</v>
      </c>
      <c r="L330" s="2">
        <f t="shared" si="11"/>
        <v>0.28000000000000003</v>
      </c>
    </row>
    <row r="331" spans="1:12" x14ac:dyDescent="0.3">
      <c r="A331" s="7">
        <v>330</v>
      </c>
      <c r="B331" s="39">
        <v>45751</v>
      </c>
      <c r="C331" s="18" t="s">
        <v>40</v>
      </c>
      <c r="D331" s="9" t="s">
        <v>361</v>
      </c>
      <c r="E331" s="7" t="s">
        <v>33</v>
      </c>
      <c r="F331" s="10">
        <v>5</v>
      </c>
      <c r="G331" s="11" t="s">
        <v>18</v>
      </c>
      <c r="H331" s="7" t="s">
        <v>27</v>
      </c>
      <c r="I331" s="7">
        <v>92.9</v>
      </c>
      <c r="J331" s="7">
        <v>16</v>
      </c>
      <c r="K331" s="7">
        <f t="shared" si="10"/>
        <v>14.86</v>
      </c>
      <c r="L331" s="7">
        <f t="shared" si="11"/>
        <v>5.94</v>
      </c>
    </row>
    <row r="332" spans="1:12" x14ac:dyDescent="0.3">
      <c r="A332" s="2">
        <v>331</v>
      </c>
      <c r="B332" s="38">
        <v>45676</v>
      </c>
      <c r="C332" s="15" t="s">
        <v>31</v>
      </c>
      <c r="D332" s="4" t="s">
        <v>362</v>
      </c>
      <c r="E332" s="2" t="s">
        <v>22</v>
      </c>
      <c r="F332" s="5">
        <v>4</v>
      </c>
      <c r="G332" s="6" t="s">
        <v>14</v>
      </c>
      <c r="H332" s="2" t="s">
        <v>15</v>
      </c>
      <c r="I332" s="2">
        <v>29.5</v>
      </c>
      <c r="J332" s="2">
        <v>20</v>
      </c>
      <c r="K332" s="2">
        <f t="shared" si="10"/>
        <v>5.9</v>
      </c>
      <c r="L332" s="2">
        <f t="shared" si="11"/>
        <v>2.36</v>
      </c>
    </row>
    <row r="333" spans="1:12" x14ac:dyDescent="0.3">
      <c r="A333" s="7">
        <v>332</v>
      </c>
      <c r="B333" s="39">
        <v>45801</v>
      </c>
      <c r="C333" s="8" t="s">
        <v>16</v>
      </c>
      <c r="D333" s="9" t="s">
        <v>363</v>
      </c>
      <c r="E333" s="7" t="s">
        <v>13</v>
      </c>
      <c r="F333" s="16">
        <v>3</v>
      </c>
      <c r="G333" s="17" t="s">
        <v>34</v>
      </c>
      <c r="H333" s="7" t="s">
        <v>15</v>
      </c>
      <c r="I333" s="7">
        <v>12.7</v>
      </c>
      <c r="J333" s="7">
        <v>14</v>
      </c>
      <c r="K333" s="7">
        <f t="shared" si="10"/>
        <v>1.78</v>
      </c>
      <c r="L333" s="7">
        <f t="shared" si="11"/>
        <v>0.71</v>
      </c>
    </row>
    <row r="334" spans="1:12" x14ac:dyDescent="0.3">
      <c r="A334" s="2">
        <v>333</v>
      </c>
      <c r="B334" s="38">
        <v>45708</v>
      </c>
      <c r="C334" s="18" t="s">
        <v>40</v>
      </c>
      <c r="D334" s="4" t="s">
        <v>364</v>
      </c>
      <c r="E334" s="2" t="s">
        <v>13</v>
      </c>
      <c r="F334" s="10">
        <v>5</v>
      </c>
      <c r="G334" s="11" t="s">
        <v>18</v>
      </c>
      <c r="H334" s="2" t="s">
        <v>24</v>
      </c>
      <c r="I334" s="2">
        <v>98.4</v>
      </c>
      <c r="J334" s="2">
        <v>12</v>
      </c>
      <c r="K334" s="2">
        <f t="shared" si="10"/>
        <v>11.81</v>
      </c>
      <c r="L334" s="2">
        <f t="shared" si="11"/>
        <v>4.72</v>
      </c>
    </row>
    <row r="335" spans="1:12" x14ac:dyDescent="0.3">
      <c r="A335" s="7">
        <v>334</v>
      </c>
      <c r="B335" s="39">
        <v>45801</v>
      </c>
      <c r="C335" s="12" t="s">
        <v>20</v>
      </c>
      <c r="D335" s="9" t="s">
        <v>365</v>
      </c>
      <c r="E335" s="7" t="s">
        <v>46</v>
      </c>
      <c r="F335" s="10">
        <v>5</v>
      </c>
      <c r="G335" s="11" t="s">
        <v>18</v>
      </c>
      <c r="H335" s="7" t="s">
        <v>48</v>
      </c>
      <c r="I335" s="7">
        <v>73.5</v>
      </c>
      <c r="J335" s="7">
        <v>18</v>
      </c>
      <c r="K335" s="7">
        <f t="shared" si="10"/>
        <v>13.23</v>
      </c>
      <c r="L335" s="7">
        <f t="shared" si="11"/>
        <v>5.29</v>
      </c>
    </row>
    <row r="336" spans="1:12" x14ac:dyDescent="0.3">
      <c r="A336" s="2">
        <v>335</v>
      </c>
      <c r="B336" s="38">
        <v>45702</v>
      </c>
      <c r="C336" s="12" t="s">
        <v>20</v>
      </c>
      <c r="D336" s="4" t="s">
        <v>366</v>
      </c>
      <c r="E336" s="2" t="s">
        <v>44</v>
      </c>
      <c r="F336" s="5">
        <v>4</v>
      </c>
      <c r="G336" s="6" t="s">
        <v>14</v>
      </c>
      <c r="H336" s="2" t="s">
        <v>27</v>
      </c>
      <c r="I336" s="2">
        <v>50.2</v>
      </c>
      <c r="J336" s="2">
        <v>19</v>
      </c>
      <c r="K336" s="2">
        <f t="shared" si="10"/>
        <v>9.5399999999999991</v>
      </c>
      <c r="L336" s="2">
        <f t="shared" si="11"/>
        <v>3.82</v>
      </c>
    </row>
    <row r="337" spans="1:12" x14ac:dyDescent="0.3">
      <c r="A337" s="7">
        <v>336</v>
      </c>
      <c r="B337" s="39">
        <v>45837</v>
      </c>
      <c r="C337" s="15" t="s">
        <v>31</v>
      </c>
      <c r="D337" s="9" t="s">
        <v>367</v>
      </c>
      <c r="E337" s="7" t="s">
        <v>13</v>
      </c>
      <c r="F337" s="5">
        <v>4</v>
      </c>
      <c r="G337" s="6" t="s">
        <v>14</v>
      </c>
      <c r="H337" s="7" t="s">
        <v>27</v>
      </c>
      <c r="I337" s="7">
        <v>52.2</v>
      </c>
      <c r="J337" s="7">
        <v>18</v>
      </c>
      <c r="K337" s="7">
        <f t="shared" si="10"/>
        <v>9.4</v>
      </c>
      <c r="L337" s="7">
        <f t="shared" si="11"/>
        <v>3.76</v>
      </c>
    </row>
    <row r="338" spans="1:12" x14ac:dyDescent="0.3">
      <c r="A338" s="2">
        <v>337</v>
      </c>
      <c r="B338" s="38">
        <v>45748</v>
      </c>
      <c r="C338" s="3" t="s">
        <v>11</v>
      </c>
      <c r="D338" s="4" t="s">
        <v>368</v>
      </c>
      <c r="E338" s="2" t="s">
        <v>29</v>
      </c>
      <c r="F338" s="10">
        <v>5</v>
      </c>
      <c r="G338" s="11" t="s">
        <v>18</v>
      </c>
      <c r="H338" s="2" t="s">
        <v>48</v>
      </c>
      <c r="I338" s="2">
        <v>95.6</v>
      </c>
      <c r="J338" s="2">
        <v>16</v>
      </c>
      <c r="K338" s="2">
        <f t="shared" si="10"/>
        <v>15.3</v>
      </c>
      <c r="L338" s="2">
        <f t="shared" si="11"/>
        <v>6.12</v>
      </c>
    </row>
    <row r="339" spans="1:12" x14ac:dyDescent="0.3">
      <c r="A339" s="7">
        <v>338</v>
      </c>
      <c r="B339" s="39">
        <v>45825</v>
      </c>
      <c r="C339" s="15" t="s">
        <v>31</v>
      </c>
      <c r="D339" s="9" t="s">
        <v>369</v>
      </c>
      <c r="E339" s="7" t="s">
        <v>36</v>
      </c>
      <c r="F339" s="16">
        <v>3</v>
      </c>
      <c r="G339" s="17" t="s">
        <v>34</v>
      </c>
      <c r="H339" s="7" t="s">
        <v>19</v>
      </c>
      <c r="I339" s="7">
        <v>23.7</v>
      </c>
      <c r="J339" s="7">
        <v>23</v>
      </c>
      <c r="K339" s="7">
        <f t="shared" si="10"/>
        <v>5.45</v>
      </c>
      <c r="L339" s="7">
        <f t="shared" si="11"/>
        <v>2.1800000000000002</v>
      </c>
    </row>
    <row r="340" spans="1:12" x14ac:dyDescent="0.3">
      <c r="A340" s="2">
        <v>339</v>
      </c>
      <c r="B340" s="38">
        <v>45794</v>
      </c>
      <c r="C340" s="15" t="s">
        <v>31</v>
      </c>
      <c r="D340" s="4" t="s">
        <v>370</v>
      </c>
      <c r="E340" s="2" t="s">
        <v>13</v>
      </c>
      <c r="F340" s="13">
        <v>2</v>
      </c>
      <c r="G340" s="14" t="s">
        <v>23</v>
      </c>
      <c r="H340" s="2" t="s">
        <v>24</v>
      </c>
      <c r="I340" s="2">
        <v>7.7</v>
      </c>
      <c r="J340" s="2">
        <v>27</v>
      </c>
      <c r="K340" s="2">
        <f t="shared" si="10"/>
        <v>2.08</v>
      </c>
      <c r="L340" s="2">
        <f t="shared" si="11"/>
        <v>0.83</v>
      </c>
    </row>
    <row r="341" spans="1:12" x14ac:dyDescent="0.3">
      <c r="A341" s="7">
        <v>340</v>
      </c>
      <c r="B341" s="39">
        <v>45678</v>
      </c>
      <c r="C341" s="8" t="s">
        <v>16</v>
      </c>
      <c r="D341" s="9" t="s">
        <v>371</v>
      </c>
      <c r="E341" s="7" t="s">
        <v>46</v>
      </c>
      <c r="F341" s="16">
        <v>3</v>
      </c>
      <c r="G341" s="17" t="s">
        <v>34</v>
      </c>
      <c r="H341" s="7" t="s">
        <v>48</v>
      </c>
      <c r="I341" s="7">
        <v>20.3</v>
      </c>
      <c r="J341" s="7">
        <v>14</v>
      </c>
      <c r="K341" s="7">
        <f t="shared" si="10"/>
        <v>2.84</v>
      </c>
      <c r="L341" s="7">
        <f t="shared" si="11"/>
        <v>1.1399999999999999</v>
      </c>
    </row>
    <row r="342" spans="1:12" x14ac:dyDescent="0.3">
      <c r="A342" s="2">
        <v>341</v>
      </c>
      <c r="B342" s="38">
        <v>45831</v>
      </c>
      <c r="C342" s="15" t="s">
        <v>31</v>
      </c>
      <c r="D342" s="4" t="s">
        <v>372</v>
      </c>
      <c r="E342" s="2" t="s">
        <v>46</v>
      </c>
      <c r="F342" s="16">
        <v>3</v>
      </c>
      <c r="G342" s="17" t="s">
        <v>34</v>
      </c>
      <c r="H342" s="2" t="s">
        <v>15</v>
      </c>
      <c r="I342" s="2">
        <v>13.2</v>
      </c>
      <c r="J342" s="2">
        <v>18</v>
      </c>
      <c r="K342" s="2">
        <f t="shared" si="10"/>
        <v>2.38</v>
      </c>
      <c r="L342" s="2">
        <f t="shared" si="11"/>
        <v>0.95</v>
      </c>
    </row>
    <row r="343" spans="1:12" x14ac:dyDescent="0.3">
      <c r="A343" s="7">
        <v>342</v>
      </c>
      <c r="B343" s="39">
        <v>45687</v>
      </c>
      <c r="C343" s="15" t="s">
        <v>31</v>
      </c>
      <c r="D343" s="9" t="s">
        <v>373</v>
      </c>
      <c r="E343" s="7" t="s">
        <v>13</v>
      </c>
      <c r="F343" s="10">
        <v>5</v>
      </c>
      <c r="G343" s="11" t="s">
        <v>18</v>
      </c>
      <c r="H343" s="7" t="s">
        <v>19</v>
      </c>
      <c r="I343" s="7">
        <v>118.4</v>
      </c>
      <c r="J343" s="7">
        <v>25</v>
      </c>
      <c r="K343" s="7">
        <f t="shared" si="10"/>
        <v>29.6</v>
      </c>
      <c r="L343" s="7">
        <f t="shared" si="11"/>
        <v>11.84</v>
      </c>
    </row>
    <row r="344" spans="1:12" x14ac:dyDescent="0.3">
      <c r="A344" s="2">
        <v>343</v>
      </c>
      <c r="B344" s="38">
        <v>45690</v>
      </c>
      <c r="C344" s="12" t="s">
        <v>20</v>
      </c>
      <c r="D344" s="4" t="s">
        <v>374</v>
      </c>
      <c r="E344" s="2" t="s">
        <v>46</v>
      </c>
      <c r="F344" s="5">
        <v>4</v>
      </c>
      <c r="G344" s="6" t="s">
        <v>14</v>
      </c>
      <c r="H344" s="2" t="s">
        <v>27</v>
      </c>
      <c r="I344" s="2">
        <v>35.9</v>
      </c>
      <c r="J344" s="2">
        <v>15</v>
      </c>
      <c r="K344" s="2">
        <f t="shared" si="10"/>
        <v>5.39</v>
      </c>
      <c r="L344" s="2">
        <f t="shared" si="11"/>
        <v>2.16</v>
      </c>
    </row>
    <row r="345" spans="1:12" x14ac:dyDescent="0.3">
      <c r="A345" s="7">
        <v>344</v>
      </c>
      <c r="B345" s="39">
        <v>45693</v>
      </c>
      <c r="C345" s="15" t="s">
        <v>31</v>
      </c>
      <c r="D345" s="9" t="s">
        <v>375</v>
      </c>
      <c r="E345" s="7" t="s">
        <v>22</v>
      </c>
      <c r="F345" s="10">
        <v>5</v>
      </c>
      <c r="G345" s="11" t="s">
        <v>18</v>
      </c>
      <c r="H345" s="7" t="s">
        <v>24</v>
      </c>
      <c r="I345" s="7">
        <v>89</v>
      </c>
      <c r="J345" s="7">
        <v>28</v>
      </c>
      <c r="K345" s="7">
        <f t="shared" si="10"/>
        <v>24.92</v>
      </c>
      <c r="L345" s="7">
        <f t="shared" si="11"/>
        <v>9.9700000000000006</v>
      </c>
    </row>
    <row r="346" spans="1:12" x14ac:dyDescent="0.3">
      <c r="A346" s="2">
        <v>345</v>
      </c>
      <c r="B346" s="38">
        <v>45696</v>
      </c>
      <c r="C346" s="18" t="s">
        <v>40</v>
      </c>
      <c r="D346" s="4" t="s">
        <v>376</v>
      </c>
      <c r="E346" s="2" t="s">
        <v>22</v>
      </c>
      <c r="F346" s="16">
        <v>3</v>
      </c>
      <c r="G346" s="17" t="s">
        <v>34</v>
      </c>
      <c r="H346" s="2" t="s">
        <v>48</v>
      </c>
      <c r="I346" s="2">
        <v>23</v>
      </c>
      <c r="J346" s="2">
        <v>19</v>
      </c>
      <c r="K346" s="2">
        <f t="shared" si="10"/>
        <v>4.37</v>
      </c>
      <c r="L346" s="2">
        <f t="shared" si="11"/>
        <v>1.75</v>
      </c>
    </row>
    <row r="347" spans="1:12" x14ac:dyDescent="0.3">
      <c r="A347" s="7">
        <v>346</v>
      </c>
      <c r="B347" s="39">
        <v>45797</v>
      </c>
      <c r="C347" s="18" t="s">
        <v>40</v>
      </c>
      <c r="D347" s="9" t="s">
        <v>377</v>
      </c>
      <c r="E347" s="7" t="s">
        <v>33</v>
      </c>
      <c r="F347" s="10">
        <v>5</v>
      </c>
      <c r="G347" s="11" t="s">
        <v>18</v>
      </c>
      <c r="H347" s="7" t="s">
        <v>24</v>
      </c>
      <c r="I347" s="7">
        <v>120</v>
      </c>
      <c r="J347" s="7">
        <v>17</v>
      </c>
      <c r="K347" s="7">
        <f t="shared" si="10"/>
        <v>20.399999999999999</v>
      </c>
      <c r="L347" s="7">
        <f t="shared" si="11"/>
        <v>8.16</v>
      </c>
    </row>
    <row r="348" spans="1:12" x14ac:dyDescent="0.3">
      <c r="A348" s="2">
        <v>347</v>
      </c>
      <c r="B348" s="38">
        <v>45680</v>
      </c>
      <c r="C348" s="18" t="s">
        <v>40</v>
      </c>
      <c r="D348" s="4" t="s">
        <v>378</v>
      </c>
      <c r="E348" s="2" t="s">
        <v>44</v>
      </c>
      <c r="F348" s="5">
        <v>4</v>
      </c>
      <c r="G348" s="6" t="s">
        <v>14</v>
      </c>
      <c r="H348" s="2" t="s">
        <v>24</v>
      </c>
      <c r="I348" s="2">
        <v>21.8</v>
      </c>
      <c r="J348" s="2">
        <v>15</v>
      </c>
      <c r="K348" s="2">
        <f t="shared" si="10"/>
        <v>3.27</v>
      </c>
      <c r="L348" s="2">
        <f t="shared" si="11"/>
        <v>1.31</v>
      </c>
    </row>
    <row r="349" spans="1:12" x14ac:dyDescent="0.3">
      <c r="A349" s="7">
        <v>348</v>
      </c>
      <c r="B349" s="39">
        <v>45666</v>
      </c>
      <c r="C349" s="12" t="s">
        <v>20</v>
      </c>
      <c r="D349" s="9" t="s">
        <v>379</v>
      </c>
      <c r="E349" s="7" t="s">
        <v>13</v>
      </c>
      <c r="F349" s="16">
        <v>3</v>
      </c>
      <c r="G349" s="17" t="s">
        <v>34</v>
      </c>
      <c r="H349" s="7" t="s">
        <v>48</v>
      </c>
      <c r="I349" s="7">
        <v>17.8</v>
      </c>
      <c r="J349" s="7">
        <v>18</v>
      </c>
      <c r="K349" s="7">
        <f t="shared" si="10"/>
        <v>3.2</v>
      </c>
      <c r="L349" s="7">
        <f t="shared" si="11"/>
        <v>1.28</v>
      </c>
    </row>
    <row r="350" spans="1:12" x14ac:dyDescent="0.3">
      <c r="A350" s="2">
        <v>349</v>
      </c>
      <c r="B350" s="38">
        <v>45789</v>
      </c>
      <c r="C350" s="12" t="s">
        <v>20</v>
      </c>
      <c r="D350" s="4" t="s">
        <v>380</v>
      </c>
      <c r="E350" s="2" t="s">
        <v>44</v>
      </c>
      <c r="F350" s="16">
        <v>3</v>
      </c>
      <c r="G350" s="17" t="s">
        <v>34</v>
      </c>
      <c r="H350" s="2" t="s">
        <v>27</v>
      </c>
      <c r="I350" s="2">
        <v>14.5</v>
      </c>
      <c r="J350" s="2">
        <v>15</v>
      </c>
      <c r="K350" s="2">
        <f t="shared" si="10"/>
        <v>2.1800000000000002</v>
      </c>
      <c r="L350" s="2">
        <f t="shared" si="11"/>
        <v>0.87</v>
      </c>
    </row>
    <row r="351" spans="1:12" x14ac:dyDescent="0.3">
      <c r="A351" s="7">
        <v>350</v>
      </c>
      <c r="B351" s="39">
        <v>45823</v>
      </c>
      <c r="C351" s="12" t="s">
        <v>20</v>
      </c>
      <c r="D351" s="9" t="s">
        <v>381</v>
      </c>
      <c r="E351" s="7" t="s">
        <v>29</v>
      </c>
      <c r="F351" s="10">
        <v>5</v>
      </c>
      <c r="G351" s="11" t="s">
        <v>18</v>
      </c>
      <c r="H351" s="7" t="s">
        <v>15</v>
      </c>
      <c r="I351" s="7">
        <v>67</v>
      </c>
      <c r="J351" s="7">
        <v>19</v>
      </c>
      <c r="K351" s="7">
        <f t="shared" si="10"/>
        <v>12.73</v>
      </c>
      <c r="L351" s="7">
        <f t="shared" si="11"/>
        <v>5.09</v>
      </c>
    </row>
    <row r="352" spans="1:12" x14ac:dyDescent="0.3">
      <c r="A352" s="2">
        <v>351</v>
      </c>
      <c r="B352" s="38">
        <v>45755</v>
      </c>
      <c r="C352" s="12" t="s">
        <v>20</v>
      </c>
      <c r="D352" s="4" t="s">
        <v>382</v>
      </c>
      <c r="E352" s="2" t="s">
        <v>36</v>
      </c>
      <c r="F352" s="16">
        <v>3</v>
      </c>
      <c r="G352" s="17" t="s">
        <v>34</v>
      </c>
      <c r="H352" s="2" t="s">
        <v>15</v>
      </c>
      <c r="I352" s="2">
        <v>10.9</v>
      </c>
      <c r="J352" s="2">
        <v>20</v>
      </c>
      <c r="K352" s="2">
        <f t="shared" si="10"/>
        <v>2.1800000000000002</v>
      </c>
      <c r="L352" s="2">
        <f t="shared" si="11"/>
        <v>0.87</v>
      </c>
    </row>
    <row r="353" spans="1:12" x14ac:dyDescent="0.3">
      <c r="A353" s="7">
        <v>352</v>
      </c>
      <c r="B353" s="39">
        <v>45700</v>
      </c>
      <c r="C353" s="15" t="s">
        <v>31</v>
      </c>
      <c r="D353" s="9" t="s">
        <v>383</v>
      </c>
      <c r="E353" s="7" t="s">
        <v>33</v>
      </c>
      <c r="F353" s="10">
        <v>5</v>
      </c>
      <c r="G353" s="11" t="s">
        <v>18</v>
      </c>
      <c r="H353" s="7" t="s">
        <v>48</v>
      </c>
      <c r="I353" s="7">
        <v>144</v>
      </c>
      <c r="J353" s="7">
        <v>18</v>
      </c>
      <c r="K353" s="7">
        <f t="shared" si="10"/>
        <v>25.92</v>
      </c>
      <c r="L353" s="7">
        <f t="shared" si="11"/>
        <v>10.37</v>
      </c>
    </row>
    <row r="354" spans="1:12" x14ac:dyDescent="0.3">
      <c r="A354" s="2">
        <v>353</v>
      </c>
      <c r="B354" s="38">
        <v>45748</v>
      </c>
      <c r="C354" s="15" t="s">
        <v>31</v>
      </c>
      <c r="D354" s="4" t="s">
        <v>384</v>
      </c>
      <c r="E354" s="2" t="s">
        <v>26</v>
      </c>
      <c r="F354" s="10">
        <v>5</v>
      </c>
      <c r="G354" s="11" t="s">
        <v>18</v>
      </c>
      <c r="H354" s="2" t="s">
        <v>19</v>
      </c>
      <c r="I354" s="2">
        <v>139.19999999999999</v>
      </c>
      <c r="J354" s="2">
        <v>28</v>
      </c>
      <c r="K354" s="2">
        <f t="shared" si="10"/>
        <v>38.979999999999997</v>
      </c>
      <c r="L354" s="2">
        <f t="shared" si="11"/>
        <v>15.59</v>
      </c>
    </row>
    <row r="355" spans="1:12" x14ac:dyDescent="0.3">
      <c r="A355" s="7">
        <v>354</v>
      </c>
      <c r="B355" s="39">
        <v>45717</v>
      </c>
      <c r="C355" s="12" t="s">
        <v>20</v>
      </c>
      <c r="D355" s="9" t="s">
        <v>385</v>
      </c>
      <c r="E355" s="7" t="s">
        <v>13</v>
      </c>
      <c r="F355" s="5">
        <v>4</v>
      </c>
      <c r="G355" s="6" t="s">
        <v>14</v>
      </c>
      <c r="H355" s="7" t="s">
        <v>27</v>
      </c>
      <c r="I355" s="7">
        <v>22.7</v>
      </c>
      <c r="J355" s="7">
        <v>14</v>
      </c>
      <c r="K355" s="7">
        <f t="shared" si="10"/>
        <v>3.18</v>
      </c>
      <c r="L355" s="7">
        <f t="shared" si="11"/>
        <v>1.27</v>
      </c>
    </row>
    <row r="356" spans="1:12" x14ac:dyDescent="0.3">
      <c r="A356" s="2">
        <v>355</v>
      </c>
      <c r="B356" s="38">
        <v>45815</v>
      </c>
      <c r="C356" s="8" t="s">
        <v>16</v>
      </c>
      <c r="D356" s="4" t="s">
        <v>386</v>
      </c>
      <c r="E356" s="2" t="s">
        <v>44</v>
      </c>
      <c r="F356" s="5">
        <v>4</v>
      </c>
      <c r="G356" s="6" t="s">
        <v>14</v>
      </c>
      <c r="H356" s="2" t="s">
        <v>15</v>
      </c>
      <c r="I356" s="2">
        <v>22.4</v>
      </c>
      <c r="J356" s="2">
        <v>15</v>
      </c>
      <c r="K356" s="2">
        <f t="shared" si="10"/>
        <v>3.36</v>
      </c>
      <c r="L356" s="2">
        <f t="shared" si="11"/>
        <v>1.34</v>
      </c>
    </row>
    <row r="357" spans="1:12" x14ac:dyDescent="0.3">
      <c r="A357" s="7">
        <v>356</v>
      </c>
      <c r="B357" s="39">
        <v>45813</v>
      </c>
      <c r="C357" s="18" t="s">
        <v>40</v>
      </c>
      <c r="D357" s="9" t="s">
        <v>387</v>
      </c>
      <c r="E357" s="7" t="s">
        <v>26</v>
      </c>
      <c r="F357" s="10">
        <v>5</v>
      </c>
      <c r="G357" s="11" t="s">
        <v>18</v>
      </c>
      <c r="H357" s="7" t="s">
        <v>24</v>
      </c>
      <c r="I357" s="7">
        <v>41.7</v>
      </c>
      <c r="J357" s="7">
        <v>20</v>
      </c>
      <c r="K357" s="7">
        <f t="shared" si="10"/>
        <v>8.34</v>
      </c>
      <c r="L357" s="7">
        <f t="shared" si="11"/>
        <v>3.34</v>
      </c>
    </row>
    <row r="358" spans="1:12" x14ac:dyDescent="0.3">
      <c r="A358" s="2">
        <v>357</v>
      </c>
      <c r="B358" s="38">
        <v>45814</v>
      </c>
      <c r="C358" s="15" t="s">
        <v>31</v>
      </c>
      <c r="D358" s="4" t="s">
        <v>388</v>
      </c>
      <c r="E358" s="2" t="s">
        <v>44</v>
      </c>
      <c r="F358" s="19">
        <v>1</v>
      </c>
      <c r="G358" s="14" t="s">
        <v>23</v>
      </c>
      <c r="H358" s="2" t="s">
        <v>48</v>
      </c>
      <c r="I358" s="2">
        <v>3.9</v>
      </c>
      <c r="J358" s="2">
        <v>26</v>
      </c>
      <c r="K358" s="2">
        <f t="shared" si="10"/>
        <v>1.01</v>
      </c>
      <c r="L358" s="2">
        <f t="shared" si="11"/>
        <v>0.4</v>
      </c>
    </row>
    <row r="359" spans="1:12" x14ac:dyDescent="0.3">
      <c r="A359" s="7">
        <v>358</v>
      </c>
      <c r="B359" s="39">
        <v>45699</v>
      </c>
      <c r="C359" s="15" t="s">
        <v>31</v>
      </c>
      <c r="D359" s="9" t="s">
        <v>389</v>
      </c>
      <c r="E359" s="7" t="s">
        <v>26</v>
      </c>
      <c r="F359" s="5">
        <v>4</v>
      </c>
      <c r="G359" s="6" t="s">
        <v>14</v>
      </c>
      <c r="H359" s="7" t="s">
        <v>24</v>
      </c>
      <c r="I359" s="7">
        <v>52.2</v>
      </c>
      <c r="J359" s="7">
        <v>20</v>
      </c>
      <c r="K359" s="7">
        <f t="shared" si="10"/>
        <v>10.44</v>
      </c>
      <c r="L359" s="7">
        <f t="shared" si="11"/>
        <v>4.18</v>
      </c>
    </row>
    <row r="360" spans="1:12" x14ac:dyDescent="0.3">
      <c r="A360" s="2">
        <v>359</v>
      </c>
      <c r="B360" s="38">
        <v>45745</v>
      </c>
      <c r="C360" s="15" t="s">
        <v>31</v>
      </c>
      <c r="D360" s="4" t="s">
        <v>390</v>
      </c>
      <c r="E360" s="2" t="s">
        <v>29</v>
      </c>
      <c r="F360" s="5">
        <v>4</v>
      </c>
      <c r="G360" s="6" t="s">
        <v>14</v>
      </c>
      <c r="H360" s="2" t="s">
        <v>27</v>
      </c>
      <c r="I360" s="2">
        <v>27.7</v>
      </c>
      <c r="J360" s="2">
        <v>26</v>
      </c>
      <c r="K360" s="2">
        <f t="shared" si="10"/>
        <v>7.2</v>
      </c>
      <c r="L360" s="2">
        <f t="shared" si="11"/>
        <v>2.88</v>
      </c>
    </row>
    <row r="361" spans="1:12" x14ac:dyDescent="0.3">
      <c r="A361" s="7">
        <v>360</v>
      </c>
      <c r="B361" s="39">
        <v>45671</v>
      </c>
      <c r="C361" s="15" t="s">
        <v>31</v>
      </c>
      <c r="D361" s="9" t="s">
        <v>391</v>
      </c>
      <c r="E361" s="7" t="s">
        <v>22</v>
      </c>
      <c r="F361" s="16">
        <v>3</v>
      </c>
      <c r="G361" s="17" t="s">
        <v>34</v>
      </c>
      <c r="H361" s="7" t="s">
        <v>24</v>
      </c>
      <c r="I361" s="7">
        <v>9.3000000000000007</v>
      </c>
      <c r="J361" s="7">
        <v>24</v>
      </c>
      <c r="K361" s="7">
        <f t="shared" si="10"/>
        <v>2.23</v>
      </c>
      <c r="L361" s="7">
        <f t="shared" si="11"/>
        <v>0.89</v>
      </c>
    </row>
    <row r="362" spans="1:12" x14ac:dyDescent="0.3">
      <c r="A362" s="2">
        <v>361</v>
      </c>
      <c r="B362" s="38">
        <v>45745</v>
      </c>
      <c r="C362" s="3" t="s">
        <v>11</v>
      </c>
      <c r="D362" s="4" t="s">
        <v>392</v>
      </c>
      <c r="E362" s="2" t="s">
        <v>46</v>
      </c>
      <c r="F362" s="16">
        <v>3</v>
      </c>
      <c r="G362" s="17" t="s">
        <v>34</v>
      </c>
      <c r="H362" s="2" t="s">
        <v>27</v>
      </c>
      <c r="I362" s="2">
        <v>13.1</v>
      </c>
      <c r="J362" s="2">
        <v>11</v>
      </c>
      <c r="K362" s="2">
        <f t="shared" si="10"/>
        <v>1.44</v>
      </c>
      <c r="L362" s="2">
        <f t="shared" si="11"/>
        <v>0.57999999999999996</v>
      </c>
    </row>
    <row r="363" spans="1:12" x14ac:dyDescent="0.3">
      <c r="A363" s="7">
        <v>362</v>
      </c>
      <c r="B363" s="39">
        <v>45818</v>
      </c>
      <c r="C363" s="15" t="s">
        <v>31</v>
      </c>
      <c r="D363" s="9" t="s">
        <v>393</v>
      </c>
      <c r="E363" s="7" t="s">
        <v>26</v>
      </c>
      <c r="F363" s="16">
        <v>3</v>
      </c>
      <c r="G363" s="17" t="s">
        <v>34</v>
      </c>
      <c r="H363" s="7" t="s">
        <v>24</v>
      </c>
      <c r="I363" s="7">
        <v>14.4</v>
      </c>
      <c r="J363" s="7">
        <v>25</v>
      </c>
      <c r="K363" s="7">
        <f t="shared" si="10"/>
        <v>3.6</v>
      </c>
      <c r="L363" s="7">
        <f t="shared" si="11"/>
        <v>1.44</v>
      </c>
    </row>
    <row r="364" spans="1:12" x14ac:dyDescent="0.3">
      <c r="A364" s="2">
        <v>363</v>
      </c>
      <c r="B364" s="38">
        <v>45769</v>
      </c>
      <c r="C364" s="18" t="s">
        <v>40</v>
      </c>
      <c r="D364" s="4" t="s">
        <v>394</v>
      </c>
      <c r="E364" s="2" t="s">
        <v>13</v>
      </c>
      <c r="F364" s="19">
        <v>1</v>
      </c>
      <c r="G364" s="14" t="s">
        <v>23</v>
      </c>
      <c r="H364" s="2" t="s">
        <v>27</v>
      </c>
      <c r="I364" s="2">
        <v>1.3</v>
      </c>
      <c r="J364" s="2">
        <v>18</v>
      </c>
      <c r="K364" s="2">
        <f t="shared" si="10"/>
        <v>0.23</v>
      </c>
      <c r="L364" s="2">
        <f t="shared" si="11"/>
        <v>0.09</v>
      </c>
    </row>
    <row r="365" spans="1:12" x14ac:dyDescent="0.3">
      <c r="A365" s="7">
        <v>364</v>
      </c>
      <c r="B365" s="39">
        <v>45706</v>
      </c>
      <c r="C365" s="3" t="s">
        <v>11</v>
      </c>
      <c r="D365" s="9" t="s">
        <v>395</v>
      </c>
      <c r="E365" s="7" t="s">
        <v>44</v>
      </c>
      <c r="F365" s="5">
        <v>4</v>
      </c>
      <c r="G365" s="6" t="s">
        <v>14</v>
      </c>
      <c r="H365" s="7" t="s">
        <v>19</v>
      </c>
      <c r="I365" s="7">
        <v>55.8</v>
      </c>
      <c r="J365" s="7">
        <v>10</v>
      </c>
      <c r="K365" s="7">
        <f t="shared" si="10"/>
        <v>5.58</v>
      </c>
      <c r="L365" s="7">
        <f t="shared" si="11"/>
        <v>2.23</v>
      </c>
    </row>
    <row r="366" spans="1:12" x14ac:dyDescent="0.3">
      <c r="A366" s="2">
        <v>365</v>
      </c>
      <c r="B366" s="38">
        <v>45736</v>
      </c>
      <c r="C366" s="18" t="s">
        <v>40</v>
      </c>
      <c r="D366" s="4" t="s">
        <v>396</v>
      </c>
      <c r="E366" s="2" t="s">
        <v>44</v>
      </c>
      <c r="F366" s="10">
        <v>5</v>
      </c>
      <c r="G366" s="11" t="s">
        <v>18</v>
      </c>
      <c r="H366" s="2" t="s">
        <v>48</v>
      </c>
      <c r="I366" s="2">
        <v>89.9</v>
      </c>
      <c r="J366" s="2">
        <v>12</v>
      </c>
      <c r="K366" s="2">
        <f t="shared" si="10"/>
        <v>10.79</v>
      </c>
      <c r="L366" s="2">
        <f t="shared" si="11"/>
        <v>4.32</v>
      </c>
    </row>
    <row r="367" spans="1:12" x14ac:dyDescent="0.3">
      <c r="A367" s="7">
        <v>366</v>
      </c>
      <c r="B367" s="39">
        <v>45703</v>
      </c>
      <c r="C367" s="18" t="s">
        <v>40</v>
      </c>
      <c r="D367" s="9" t="s">
        <v>397</v>
      </c>
      <c r="E367" s="7" t="s">
        <v>36</v>
      </c>
      <c r="F367" s="10">
        <v>5</v>
      </c>
      <c r="G367" s="11" t="s">
        <v>18</v>
      </c>
      <c r="H367" s="7" t="s">
        <v>15</v>
      </c>
      <c r="I367" s="7">
        <v>134.4</v>
      </c>
      <c r="J367" s="7">
        <v>21</v>
      </c>
      <c r="K367" s="7">
        <f t="shared" si="10"/>
        <v>28.22</v>
      </c>
      <c r="L367" s="7">
        <f t="shared" si="11"/>
        <v>11.29</v>
      </c>
    </row>
    <row r="368" spans="1:12" x14ac:dyDescent="0.3">
      <c r="A368" s="2">
        <v>367</v>
      </c>
      <c r="B368" s="38">
        <v>45686</v>
      </c>
      <c r="C368" s="12" t="s">
        <v>20</v>
      </c>
      <c r="D368" s="4" t="s">
        <v>398</v>
      </c>
      <c r="E368" s="2" t="s">
        <v>44</v>
      </c>
      <c r="F368" s="10">
        <v>5</v>
      </c>
      <c r="G368" s="11" t="s">
        <v>18</v>
      </c>
      <c r="H368" s="2" t="s">
        <v>15</v>
      </c>
      <c r="I368" s="2">
        <v>41.6</v>
      </c>
      <c r="J368" s="2">
        <v>15</v>
      </c>
      <c r="K368" s="2">
        <f t="shared" si="10"/>
        <v>6.24</v>
      </c>
      <c r="L368" s="2">
        <f t="shared" si="11"/>
        <v>2.5</v>
      </c>
    </row>
    <row r="369" spans="1:12" x14ac:dyDescent="0.3">
      <c r="A369" s="7">
        <v>368</v>
      </c>
      <c r="B369" s="39">
        <v>45695</v>
      </c>
      <c r="C369" s="15" t="s">
        <v>31</v>
      </c>
      <c r="D369" s="9" t="s">
        <v>399</v>
      </c>
      <c r="E369" s="7" t="s">
        <v>33</v>
      </c>
      <c r="F369" s="10">
        <v>5</v>
      </c>
      <c r="G369" s="11" t="s">
        <v>18</v>
      </c>
      <c r="H369" s="7" t="s">
        <v>24</v>
      </c>
      <c r="I369" s="7">
        <v>137.5</v>
      </c>
      <c r="J369" s="7">
        <v>22</v>
      </c>
      <c r="K369" s="7">
        <f t="shared" si="10"/>
        <v>30.25</v>
      </c>
      <c r="L369" s="7">
        <f t="shared" si="11"/>
        <v>12.1</v>
      </c>
    </row>
    <row r="370" spans="1:12" x14ac:dyDescent="0.3">
      <c r="A370" s="2">
        <v>369</v>
      </c>
      <c r="B370" s="38">
        <v>45785</v>
      </c>
      <c r="C370" s="15" t="s">
        <v>31</v>
      </c>
      <c r="D370" s="4" t="s">
        <v>400</v>
      </c>
      <c r="E370" s="2" t="s">
        <v>13</v>
      </c>
      <c r="F370" s="5">
        <v>4</v>
      </c>
      <c r="G370" s="6" t="s">
        <v>14</v>
      </c>
      <c r="H370" s="2" t="s">
        <v>24</v>
      </c>
      <c r="I370" s="2">
        <v>47.1</v>
      </c>
      <c r="J370" s="2">
        <v>26</v>
      </c>
      <c r="K370" s="2">
        <f t="shared" si="10"/>
        <v>12.25</v>
      </c>
      <c r="L370" s="2">
        <f t="shared" si="11"/>
        <v>4.9000000000000004</v>
      </c>
    </row>
    <row r="371" spans="1:12" x14ac:dyDescent="0.3">
      <c r="A371" s="7">
        <v>370</v>
      </c>
      <c r="B371" s="39">
        <v>45822</v>
      </c>
      <c r="C371" s="15" t="s">
        <v>31</v>
      </c>
      <c r="D371" s="9" t="s">
        <v>401</v>
      </c>
      <c r="E371" s="7" t="s">
        <v>44</v>
      </c>
      <c r="F371" s="10">
        <v>5</v>
      </c>
      <c r="G371" s="11" t="s">
        <v>18</v>
      </c>
      <c r="H371" s="7" t="s">
        <v>27</v>
      </c>
      <c r="I371" s="7">
        <v>123</v>
      </c>
      <c r="J371" s="7">
        <v>19</v>
      </c>
      <c r="K371" s="7">
        <f t="shared" si="10"/>
        <v>23.37</v>
      </c>
      <c r="L371" s="7">
        <f t="shared" si="11"/>
        <v>9.35</v>
      </c>
    </row>
    <row r="372" spans="1:12" x14ac:dyDescent="0.3">
      <c r="A372" s="2">
        <v>371</v>
      </c>
      <c r="B372" s="38">
        <v>45791</v>
      </c>
      <c r="C372" s="15" t="s">
        <v>31</v>
      </c>
      <c r="D372" s="4" t="s">
        <v>402</v>
      </c>
      <c r="E372" s="2" t="s">
        <v>22</v>
      </c>
      <c r="F372" s="13">
        <v>2</v>
      </c>
      <c r="G372" s="14" t="s">
        <v>23</v>
      </c>
      <c r="H372" s="2" t="s">
        <v>24</v>
      </c>
      <c r="I372" s="2">
        <v>4.5999999999999996</v>
      </c>
      <c r="J372" s="2">
        <v>19</v>
      </c>
      <c r="K372" s="2">
        <f t="shared" si="10"/>
        <v>0.87</v>
      </c>
      <c r="L372" s="2">
        <f t="shared" si="11"/>
        <v>0.35</v>
      </c>
    </row>
    <row r="373" spans="1:12" x14ac:dyDescent="0.3">
      <c r="A373" s="7">
        <v>372</v>
      </c>
      <c r="B373" s="39">
        <v>45661</v>
      </c>
      <c r="C373" s="8" t="s">
        <v>16</v>
      </c>
      <c r="D373" s="9" t="s">
        <v>403</v>
      </c>
      <c r="E373" s="7" t="s">
        <v>13</v>
      </c>
      <c r="F373" s="10">
        <v>5</v>
      </c>
      <c r="G373" s="11" t="s">
        <v>18</v>
      </c>
      <c r="H373" s="7" t="s">
        <v>48</v>
      </c>
      <c r="I373" s="7">
        <v>81.7</v>
      </c>
      <c r="J373" s="7">
        <v>16</v>
      </c>
      <c r="K373" s="7">
        <f t="shared" si="10"/>
        <v>13.07</v>
      </c>
      <c r="L373" s="7">
        <f t="shared" si="11"/>
        <v>5.23</v>
      </c>
    </row>
    <row r="374" spans="1:12" x14ac:dyDescent="0.3">
      <c r="A374" s="2">
        <v>373</v>
      </c>
      <c r="B374" s="38">
        <v>45717</v>
      </c>
      <c r="C374" s="8" t="s">
        <v>16</v>
      </c>
      <c r="D374" s="4" t="s">
        <v>404</v>
      </c>
      <c r="E374" s="2" t="s">
        <v>46</v>
      </c>
      <c r="F374" s="10">
        <v>5</v>
      </c>
      <c r="G374" s="11" t="s">
        <v>18</v>
      </c>
      <c r="H374" s="2" t="s">
        <v>24</v>
      </c>
      <c r="I374" s="2">
        <v>91.5</v>
      </c>
      <c r="J374" s="2">
        <v>12</v>
      </c>
      <c r="K374" s="2">
        <f t="shared" si="10"/>
        <v>10.98</v>
      </c>
      <c r="L374" s="2">
        <f t="shared" si="11"/>
        <v>4.3899999999999997</v>
      </c>
    </row>
    <row r="375" spans="1:12" x14ac:dyDescent="0.3">
      <c r="A375" s="7">
        <v>374</v>
      </c>
      <c r="B375" s="39">
        <v>45754</v>
      </c>
      <c r="C375" s="8" t="s">
        <v>16</v>
      </c>
      <c r="D375" s="9" t="s">
        <v>405</v>
      </c>
      <c r="E375" s="7" t="s">
        <v>36</v>
      </c>
      <c r="F375" s="5">
        <v>4</v>
      </c>
      <c r="G375" s="6" t="s">
        <v>14</v>
      </c>
      <c r="H375" s="7" t="s">
        <v>48</v>
      </c>
      <c r="I375" s="7">
        <v>46.4</v>
      </c>
      <c r="J375" s="7">
        <v>10</v>
      </c>
      <c r="K375" s="7">
        <f t="shared" si="10"/>
        <v>4.6399999999999997</v>
      </c>
      <c r="L375" s="7">
        <f t="shared" si="11"/>
        <v>1.86</v>
      </c>
    </row>
    <row r="376" spans="1:12" x14ac:dyDescent="0.3">
      <c r="A376" s="2">
        <v>375</v>
      </c>
      <c r="B376" s="38">
        <v>45832</v>
      </c>
      <c r="C376" s="8" t="s">
        <v>16</v>
      </c>
      <c r="D376" s="4" t="s">
        <v>406</v>
      </c>
      <c r="E376" s="2" t="s">
        <v>13</v>
      </c>
      <c r="F376" s="5">
        <v>4</v>
      </c>
      <c r="G376" s="6" t="s">
        <v>14</v>
      </c>
      <c r="H376" s="2" t="s">
        <v>27</v>
      </c>
      <c r="I376" s="2">
        <v>48.5</v>
      </c>
      <c r="J376" s="2">
        <v>10</v>
      </c>
      <c r="K376" s="2">
        <f t="shared" si="10"/>
        <v>4.8499999999999996</v>
      </c>
      <c r="L376" s="2">
        <f t="shared" si="11"/>
        <v>1.94</v>
      </c>
    </row>
    <row r="377" spans="1:12" x14ac:dyDescent="0.3">
      <c r="A377" s="7">
        <v>376</v>
      </c>
      <c r="B377" s="39">
        <v>45682</v>
      </c>
      <c r="C377" s="15" t="s">
        <v>31</v>
      </c>
      <c r="D377" s="9" t="s">
        <v>407</v>
      </c>
      <c r="E377" s="7" t="s">
        <v>33</v>
      </c>
      <c r="F377" s="5">
        <v>4</v>
      </c>
      <c r="G377" s="6" t="s">
        <v>14</v>
      </c>
      <c r="H377" s="7" t="s">
        <v>27</v>
      </c>
      <c r="I377" s="7">
        <v>49.6</v>
      </c>
      <c r="J377" s="7">
        <v>23</v>
      </c>
      <c r="K377" s="7">
        <f t="shared" si="10"/>
        <v>11.41</v>
      </c>
      <c r="L377" s="7">
        <f t="shared" si="11"/>
        <v>4.5599999999999996</v>
      </c>
    </row>
    <row r="378" spans="1:12" x14ac:dyDescent="0.3">
      <c r="A378" s="2">
        <v>377</v>
      </c>
      <c r="B378" s="38">
        <v>45718</v>
      </c>
      <c r="C378" s="12" t="s">
        <v>20</v>
      </c>
      <c r="D378" s="4" t="s">
        <v>408</v>
      </c>
      <c r="E378" s="2" t="s">
        <v>13</v>
      </c>
      <c r="F378" s="16">
        <v>3</v>
      </c>
      <c r="G378" s="17" t="s">
        <v>34</v>
      </c>
      <c r="H378" s="2" t="s">
        <v>15</v>
      </c>
      <c r="I378" s="2">
        <v>15.6</v>
      </c>
      <c r="J378" s="2">
        <v>16</v>
      </c>
      <c r="K378" s="2">
        <f t="shared" si="10"/>
        <v>2.5</v>
      </c>
      <c r="L378" s="2">
        <f t="shared" si="11"/>
        <v>1</v>
      </c>
    </row>
    <row r="379" spans="1:12" x14ac:dyDescent="0.3">
      <c r="A379" s="7">
        <v>378</v>
      </c>
      <c r="B379" s="39">
        <v>45803</v>
      </c>
      <c r="C379" s="12" t="s">
        <v>20</v>
      </c>
      <c r="D379" s="9" t="s">
        <v>409</v>
      </c>
      <c r="E379" s="7" t="s">
        <v>44</v>
      </c>
      <c r="F379" s="16">
        <v>3</v>
      </c>
      <c r="G379" s="17" t="s">
        <v>34</v>
      </c>
      <c r="H379" s="7" t="s">
        <v>24</v>
      </c>
      <c r="I379" s="7">
        <v>15.6</v>
      </c>
      <c r="J379" s="7">
        <v>20</v>
      </c>
      <c r="K379" s="7">
        <f t="shared" si="10"/>
        <v>3.12</v>
      </c>
      <c r="L379" s="7">
        <f t="shared" si="11"/>
        <v>1.25</v>
      </c>
    </row>
    <row r="380" spans="1:12" x14ac:dyDescent="0.3">
      <c r="A380" s="2">
        <v>379</v>
      </c>
      <c r="B380" s="38">
        <v>45771</v>
      </c>
      <c r="C380" s="3" t="s">
        <v>11</v>
      </c>
      <c r="D380" s="4" t="s">
        <v>410</v>
      </c>
      <c r="E380" s="2" t="s">
        <v>29</v>
      </c>
      <c r="F380" s="16">
        <v>3</v>
      </c>
      <c r="G380" s="17" t="s">
        <v>34</v>
      </c>
      <c r="H380" s="2" t="s">
        <v>19</v>
      </c>
      <c r="I380" s="2">
        <v>14</v>
      </c>
      <c r="J380" s="2">
        <v>11</v>
      </c>
      <c r="K380" s="2">
        <f t="shared" si="10"/>
        <v>1.54</v>
      </c>
      <c r="L380" s="2">
        <f t="shared" si="11"/>
        <v>0.62</v>
      </c>
    </row>
    <row r="381" spans="1:12" x14ac:dyDescent="0.3">
      <c r="A381" s="7">
        <v>380</v>
      </c>
      <c r="B381" s="39">
        <v>45812</v>
      </c>
      <c r="C381" s="15" t="s">
        <v>31</v>
      </c>
      <c r="D381" s="9" t="s">
        <v>411</v>
      </c>
      <c r="E381" s="7" t="s">
        <v>22</v>
      </c>
      <c r="F381" s="10">
        <v>5</v>
      </c>
      <c r="G381" s="11" t="s">
        <v>18</v>
      </c>
      <c r="H381" s="7" t="s">
        <v>19</v>
      </c>
      <c r="I381" s="7">
        <v>70.599999999999994</v>
      </c>
      <c r="J381" s="7">
        <v>24</v>
      </c>
      <c r="K381" s="7">
        <f t="shared" si="10"/>
        <v>16.940000000000001</v>
      </c>
      <c r="L381" s="7">
        <f t="shared" si="11"/>
        <v>6.78</v>
      </c>
    </row>
    <row r="382" spans="1:12" x14ac:dyDescent="0.3">
      <c r="A382" s="2">
        <v>381</v>
      </c>
      <c r="B382" s="38">
        <v>45678</v>
      </c>
      <c r="C382" s="3" t="s">
        <v>11</v>
      </c>
      <c r="D382" s="4" t="s">
        <v>412</v>
      </c>
      <c r="E382" s="2" t="s">
        <v>13</v>
      </c>
      <c r="F382" s="10">
        <v>5</v>
      </c>
      <c r="G382" s="11" t="s">
        <v>18</v>
      </c>
      <c r="H382" s="2" t="s">
        <v>48</v>
      </c>
      <c r="I382" s="2">
        <v>135</v>
      </c>
      <c r="J382" s="2">
        <v>13</v>
      </c>
      <c r="K382" s="2">
        <f t="shared" si="10"/>
        <v>17.55</v>
      </c>
      <c r="L382" s="2">
        <f t="shared" si="11"/>
        <v>7.02</v>
      </c>
    </row>
    <row r="383" spans="1:12" x14ac:dyDescent="0.3">
      <c r="A383" s="7">
        <v>382</v>
      </c>
      <c r="B383" s="39">
        <v>45699</v>
      </c>
      <c r="C383" s="18" t="s">
        <v>40</v>
      </c>
      <c r="D383" s="9" t="s">
        <v>413</v>
      </c>
      <c r="E383" s="7" t="s">
        <v>26</v>
      </c>
      <c r="F383" s="16">
        <v>3</v>
      </c>
      <c r="G383" s="17" t="s">
        <v>34</v>
      </c>
      <c r="H383" s="7" t="s">
        <v>24</v>
      </c>
      <c r="I383" s="7">
        <v>10.9</v>
      </c>
      <c r="J383" s="7">
        <v>16</v>
      </c>
      <c r="K383" s="7">
        <f t="shared" si="10"/>
        <v>1.74</v>
      </c>
      <c r="L383" s="7">
        <f t="shared" si="11"/>
        <v>0.7</v>
      </c>
    </row>
    <row r="384" spans="1:12" x14ac:dyDescent="0.3">
      <c r="A384" s="2">
        <v>383</v>
      </c>
      <c r="B384" s="38">
        <v>45700</v>
      </c>
      <c r="C384" s="3" t="s">
        <v>11</v>
      </c>
      <c r="D384" s="4" t="s">
        <v>414</v>
      </c>
      <c r="E384" s="2" t="s">
        <v>44</v>
      </c>
      <c r="F384" s="5">
        <v>4</v>
      </c>
      <c r="G384" s="6" t="s">
        <v>14</v>
      </c>
      <c r="H384" s="2" t="s">
        <v>19</v>
      </c>
      <c r="I384" s="2">
        <v>26.7</v>
      </c>
      <c r="J384" s="2">
        <v>14</v>
      </c>
      <c r="K384" s="2">
        <f t="shared" si="10"/>
        <v>3.74</v>
      </c>
      <c r="L384" s="2">
        <f t="shared" si="11"/>
        <v>1.5</v>
      </c>
    </row>
    <row r="385" spans="1:12" x14ac:dyDescent="0.3">
      <c r="A385" s="7">
        <v>384</v>
      </c>
      <c r="B385" s="39">
        <v>45771</v>
      </c>
      <c r="C385" s="12" t="s">
        <v>20</v>
      </c>
      <c r="D385" s="9" t="s">
        <v>415</v>
      </c>
      <c r="E385" s="7" t="s">
        <v>22</v>
      </c>
      <c r="F385" s="5">
        <v>4</v>
      </c>
      <c r="G385" s="6" t="s">
        <v>14</v>
      </c>
      <c r="H385" s="7" t="s">
        <v>19</v>
      </c>
      <c r="I385" s="7">
        <v>34.4</v>
      </c>
      <c r="J385" s="7">
        <v>15</v>
      </c>
      <c r="K385" s="7">
        <f t="shared" si="10"/>
        <v>5.16</v>
      </c>
      <c r="L385" s="7">
        <f t="shared" si="11"/>
        <v>2.06</v>
      </c>
    </row>
    <row r="386" spans="1:12" x14ac:dyDescent="0.3">
      <c r="A386" s="2">
        <v>385</v>
      </c>
      <c r="B386" s="38">
        <v>45753</v>
      </c>
      <c r="C386" s="3" t="s">
        <v>11</v>
      </c>
      <c r="D386" s="4" t="s">
        <v>416</v>
      </c>
      <c r="E386" s="2" t="s">
        <v>26</v>
      </c>
      <c r="F386" s="5">
        <v>4</v>
      </c>
      <c r="G386" s="6" t="s">
        <v>14</v>
      </c>
      <c r="H386" s="2" t="s">
        <v>48</v>
      </c>
      <c r="I386" s="2">
        <v>27.8</v>
      </c>
      <c r="J386" s="2">
        <v>11</v>
      </c>
      <c r="K386" s="2">
        <f t="shared" ref="K386:K449" si="12">ROUND(I386*J386/100,2)</f>
        <v>3.06</v>
      </c>
      <c r="L386" s="2">
        <f t="shared" ref="L386:L449" si="13">ROUND(K386*0.4,2)</f>
        <v>1.22</v>
      </c>
    </row>
    <row r="387" spans="1:12" x14ac:dyDescent="0.3">
      <c r="A387" s="7">
        <v>386</v>
      </c>
      <c r="B387" s="39">
        <v>45722</v>
      </c>
      <c r="C387" s="8" t="s">
        <v>16</v>
      </c>
      <c r="D387" s="9" t="s">
        <v>417</v>
      </c>
      <c r="E387" s="7" t="s">
        <v>33</v>
      </c>
      <c r="F387" s="19">
        <v>1</v>
      </c>
      <c r="G387" s="14" t="s">
        <v>23</v>
      </c>
      <c r="H387" s="7" t="s">
        <v>24</v>
      </c>
      <c r="I387" s="7">
        <v>2.2999999999999998</v>
      </c>
      <c r="J387" s="7">
        <v>14</v>
      </c>
      <c r="K387" s="7">
        <f t="shared" si="12"/>
        <v>0.32</v>
      </c>
      <c r="L387" s="7">
        <f t="shared" si="13"/>
        <v>0.13</v>
      </c>
    </row>
    <row r="388" spans="1:12" x14ac:dyDescent="0.3">
      <c r="A388" s="2">
        <v>387</v>
      </c>
      <c r="B388" s="38">
        <v>45738</v>
      </c>
      <c r="C388" s="18" t="s">
        <v>40</v>
      </c>
      <c r="D388" s="4" t="s">
        <v>418</v>
      </c>
      <c r="E388" s="2" t="s">
        <v>33</v>
      </c>
      <c r="F388" s="10">
        <v>5</v>
      </c>
      <c r="G388" s="11" t="s">
        <v>18</v>
      </c>
      <c r="H388" s="2" t="s">
        <v>24</v>
      </c>
      <c r="I388" s="2">
        <v>75.099999999999994</v>
      </c>
      <c r="J388" s="2">
        <v>22</v>
      </c>
      <c r="K388" s="2">
        <f t="shared" si="12"/>
        <v>16.52</v>
      </c>
      <c r="L388" s="2">
        <f t="shared" si="13"/>
        <v>6.61</v>
      </c>
    </row>
    <row r="389" spans="1:12" x14ac:dyDescent="0.3">
      <c r="A389" s="7">
        <v>388</v>
      </c>
      <c r="B389" s="39">
        <v>45808</v>
      </c>
      <c r="C389" s="15" t="s">
        <v>31</v>
      </c>
      <c r="D389" s="9" t="s">
        <v>419</v>
      </c>
      <c r="E389" s="7" t="s">
        <v>33</v>
      </c>
      <c r="F389" s="5">
        <v>4</v>
      </c>
      <c r="G389" s="6" t="s">
        <v>14</v>
      </c>
      <c r="H389" s="7" t="s">
        <v>48</v>
      </c>
      <c r="I389" s="7">
        <v>57.9</v>
      </c>
      <c r="J389" s="7">
        <v>21</v>
      </c>
      <c r="K389" s="7">
        <f t="shared" si="12"/>
        <v>12.16</v>
      </c>
      <c r="L389" s="7">
        <f t="shared" si="13"/>
        <v>4.8600000000000003</v>
      </c>
    </row>
    <row r="390" spans="1:12" x14ac:dyDescent="0.3">
      <c r="A390" s="2">
        <v>389</v>
      </c>
      <c r="B390" s="38">
        <v>45669</v>
      </c>
      <c r="C390" s="8" t="s">
        <v>16</v>
      </c>
      <c r="D390" s="4" t="s">
        <v>420</v>
      </c>
      <c r="E390" s="2" t="s">
        <v>33</v>
      </c>
      <c r="F390" s="16">
        <v>3</v>
      </c>
      <c r="G390" s="17" t="s">
        <v>34</v>
      </c>
      <c r="H390" s="2" t="s">
        <v>24</v>
      </c>
      <c r="I390" s="2">
        <v>24.5</v>
      </c>
      <c r="J390" s="2">
        <v>12</v>
      </c>
      <c r="K390" s="2">
        <f t="shared" si="12"/>
        <v>2.94</v>
      </c>
      <c r="L390" s="2">
        <f t="shared" si="13"/>
        <v>1.18</v>
      </c>
    </row>
    <row r="391" spans="1:12" x14ac:dyDescent="0.3">
      <c r="A391" s="7">
        <v>390</v>
      </c>
      <c r="B391" s="39">
        <v>45807</v>
      </c>
      <c r="C391" s="18" t="s">
        <v>40</v>
      </c>
      <c r="D391" s="9" t="s">
        <v>421</v>
      </c>
      <c r="E391" s="7" t="s">
        <v>13</v>
      </c>
      <c r="F391" s="10">
        <v>5</v>
      </c>
      <c r="G391" s="11" t="s">
        <v>18</v>
      </c>
      <c r="H391" s="7" t="s">
        <v>48</v>
      </c>
      <c r="I391" s="7">
        <v>122.1</v>
      </c>
      <c r="J391" s="7">
        <v>17</v>
      </c>
      <c r="K391" s="7">
        <f t="shared" si="12"/>
        <v>20.76</v>
      </c>
      <c r="L391" s="7">
        <f t="shared" si="13"/>
        <v>8.3000000000000007</v>
      </c>
    </row>
    <row r="392" spans="1:12" x14ac:dyDescent="0.3">
      <c r="A392" s="2">
        <v>391</v>
      </c>
      <c r="B392" s="38">
        <v>45759</v>
      </c>
      <c r="C392" s="3" t="s">
        <v>11</v>
      </c>
      <c r="D392" s="4" t="s">
        <v>422</v>
      </c>
      <c r="E392" s="2" t="s">
        <v>44</v>
      </c>
      <c r="F392" s="10">
        <v>5</v>
      </c>
      <c r="G392" s="11" t="s">
        <v>18</v>
      </c>
      <c r="H392" s="2" t="s">
        <v>24</v>
      </c>
      <c r="I392" s="2">
        <v>78.3</v>
      </c>
      <c r="J392" s="2">
        <v>13</v>
      </c>
      <c r="K392" s="2">
        <f t="shared" si="12"/>
        <v>10.18</v>
      </c>
      <c r="L392" s="2">
        <f t="shared" si="13"/>
        <v>4.07</v>
      </c>
    </row>
    <row r="393" spans="1:12" x14ac:dyDescent="0.3">
      <c r="A393" s="7">
        <v>392</v>
      </c>
      <c r="B393" s="39">
        <v>45663</v>
      </c>
      <c r="C393" s="18" t="s">
        <v>40</v>
      </c>
      <c r="D393" s="9" t="s">
        <v>423</v>
      </c>
      <c r="E393" s="7" t="s">
        <v>26</v>
      </c>
      <c r="F393" s="16">
        <v>3</v>
      </c>
      <c r="G393" s="17" t="s">
        <v>34</v>
      </c>
      <c r="H393" s="7" t="s">
        <v>48</v>
      </c>
      <c r="I393" s="7">
        <v>8.5</v>
      </c>
      <c r="J393" s="7">
        <v>19</v>
      </c>
      <c r="K393" s="7">
        <f t="shared" si="12"/>
        <v>1.62</v>
      </c>
      <c r="L393" s="7">
        <f t="shared" si="13"/>
        <v>0.65</v>
      </c>
    </row>
    <row r="394" spans="1:12" x14ac:dyDescent="0.3">
      <c r="A394" s="2">
        <v>393</v>
      </c>
      <c r="B394" s="38">
        <v>45734</v>
      </c>
      <c r="C394" s="15" t="s">
        <v>31</v>
      </c>
      <c r="D394" s="4" t="s">
        <v>424</v>
      </c>
      <c r="E394" s="2" t="s">
        <v>13</v>
      </c>
      <c r="F394" s="5">
        <v>4</v>
      </c>
      <c r="G394" s="6" t="s">
        <v>14</v>
      </c>
      <c r="H394" s="2" t="s">
        <v>15</v>
      </c>
      <c r="I394" s="2">
        <v>53.3</v>
      </c>
      <c r="J394" s="2">
        <v>19</v>
      </c>
      <c r="K394" s="2">
        <f t="shared" si="12"/>
        <v>10.130000000000001</v>
      </c>
      <c r="L394" s="2">
        <f t="shared" si="13"/>
        <v>4.05</v>
      </c>
    </row>
    <row r="395" spans="1:12" x14ac:dyDescent="0.3">
      <c r="A395" s="7">
        <v>394</v>
      </c>
      <c r="B395" s="39">
        <v>45698</v>
      </c>
      <c r="C395" s="8" t="s">
        <v>16</v>
      </c>
      <c r="D395" s="9" t="s">
        <v>425</v>
      </c>
      <c r="E395" s="7" t="s">
        <v>36</v>
      </c>
      <c r="F395" s="10">
        <v>5</v>
      </c>
      <c r="G395" s="11" t="s">
        <v>18</v>
      </c>
      <c r="H395" s="7" t="s">
        <v>27</v>
      </c>
      <c r="I395" s="7">
        <v>106.5</v>
      </c>
      <c r="J395" s="7">
        <v>11</v>
      </c>
      <c r="K395" s="7">
        <f t="shared" si="12"/>
        <v>11.72</v>
      </c>
      <c r="L395" s="7">
        <f t="shared" si="13"/>
        <v>4.6900000000000004</v>
      </c>
    </row>
    <row r="396" spans="1:12" x14ac:dyDescent="0.3">
      <c r="A396" s="2">
        <v>395</v>
      </c>
      <c r="B396" s="38">
        <v>45691</v>
      </c>
      <c r="C396" s="18" t="s">
        <v>40</v>
      </c>
      <c r="D396" s="4" t="s">
        <v>426</v>
      </c>
      <c r="E396" s="2" t="s">
        <v>13</v>
      </c>
      <c r="F396" s="16">
        <v>3</v>
      </c>
      <c r="G396" s="17" t="s">
        <v>34</v>
      </c>
      <c r="H396" s="2" t="s">
        <v>24</v>
      </c>
      <c r="I396" s="2">
        <v>21.4</v>
      </c>
      <c r="J396" s="2">
        <v>13</v>
      </c>
      <c r="K396" s="2">
        <f t="shared" si="12"/>
        <v>2.78</v>
      </c>
      <c r="L396" s="2">
        <f t="shared" si="13"/>
        <v>1.1100000000000001</v>
      </c>
    </row>
    <row r="397" spans="1:12" x14ac:dyDescent="0.3">
      <c r="A397" s="7">
        <v>396</v>
      </c>
      <c r="B397" s="39">
        <v>45660</v>
      </c>
      <c r="C397" s="18" t="s">
        <v>40</v>
      </c>
      <c r="D397" s="9" t="s">
        <v>427</v>
      </c>
      <c r="E397" s="7" t="s">
        <v>26</v>
      </c>
      <c r="F397" s="5">
        <v>4</v>
      </c>
      <c r="G397" s="6" t="s">
        <v>14</v>
      </c>
      <c r="H397" s="7" t="s">
        <v>24</v>
      </c>
      <c r="I397" s="7">
        <v>41.4</v>
      </c>
      <c r="J397" s="7">
        <v>18</v>
      </c>
      <c r="K397" s="7">
        <f t="shared" si="12"/>
        <v>7.45</v>
      </c>
      <c r="L397" s="7">
        <f t="shared" si="13"/>
        <v>2.98</v>
      </c>
    </row>
    <row r="398" spans="1:12" x14ac:dyDescent="0.3">
      <c r="A398" s="2">
        <v>397</v>
      </c>
      <c r="B398" s="38">
        <v>45731</v>
      </c>
      <c r="C398" s="15" t="s">
        <v>31</v>
      </c>
      <c r="D398" s="4" t="s">
        <v>428</v>
      </c>
      <c r="E398" s="2" t="s">
        <v>26</v>
      </c>
      <c r="F398" s="10">
        <v>5</v>
      </c>
      <c r="G398" s="11" t="s">
        <v>18</v>
      </c>
      <c r="H398" s="2" t="s">
        <v>15</v>
      </c>
      <c r="I398" s="2">
        <v>113.7</v>
      </c>
      <c r="J398" s="2">
        <v>26</v>
      </c>
      <c r="K398" s="2">
        <f t="shared" si="12"/>
        <v>29.56</v>
      </c>
      <c r="L398" s="2">
        <f t="shared" si="13"/>
        <v>11.82</v>
      </c>
    </row>
    <row r="399" spans="1:12" x14ac:dyDescent="0.3">
      <c r="A399" s="7">
        <v>398</v>
      </c>
      <c r="B399" s="39">
        <v>45800</v>
      </c>
      <c r="C399" s="12" t="s">
        <v>20</v>
      </c>
      <c r="D399" s="9" t="s">
        <v>429</v>
      </c>
      <c r="E399" s="7" t="s">
        <v>46</v>
      </c>
      <c r="F399" s="10">
        <v>5</v>
      </c>
      <c r="G399" s="11" t="s">
        <v>18</v>
      </c>
      <c r="H399" s="7" t="s">
        <v>19</v>
      </c>
      <c r="I399" s="7">
        <v>120.7</v>
      </c>
      <c r="J399" s="7">
        <v>17</v>
      </c>
      <c r="K399" s="7">
        <f t="shared" si="12"/>
        <v>20.52</v>
      </c>
      <c r="L399" s="7">
        <f t="shared" si="13"/>
        <v>8.2100000000000009</v>
      </c>
    </row>
    <row r="400" spans="1:12" x14ac:dyDescent="0.3">
      <c r="A400" s="2">
        <v>399</v>
      </c>
      <c r="B400" s="38">
        <v>45733</v>
      </c>
      <c r="C400" s="8" t="s">
        <v>16</v>
      </c>
      <c r="D400" s="4" t="s">
        <v>430</v>
      </c>
      <c r="E400" s="2" t="s">
        <v>22</v>
      </c>
      <c r="F400" s="5">
        <v>4</v>
      </c>
      <c r="G400" s="6" t="s">
        <v>14</v>
      </c>
      <c r="H400" s="2" t="s">
        <v>48</v>
      </c>
      <c r="I400" s="2">
        <v>59.3</v>
      </c>
      <c r="J400" s="2">
        <v>15</v>
      </c>
      <c r="K400" s="2">
        <f t="shared" si="12"/>
        <v>8.9</v>
      </c>
      <c r="L400" s="2">
        <f t="shared" si="13"/>
        <v>3.56</v>
      </c>
    </row>
    <row r="401" spans="1:12" x14ac:dyDescent="0.3">
      <c r="A401" s="7">
        <v>400</v>
      </c>
      <c r="B401" s="39">
        <v>45732</v>
      </c>
      <c r="C401" s="15" t="s">
        <v>31</v>
      </c>
      <c r="D401" s="9" t="s">
        <v>431</v>
      </c>
      <c r="E401" s="7" t="s">
        <v>44</v>
      </c>
      <c r="F401" s="10">
        <v>5</v>
      </c>
      <c r="G401" s="11" t="s">
        <v>18</v>
      </c>
      <c r="H401" s="7" t="s">
        <v>15</v>
      </c>
      <c r="I401" s="7">
        <v>141.4</v>
      </c>
      <c r="J401" s="7">
        <v>24</v>
      </c>
      <c r="K401" s="7">
        <f t="shared" si="12"/>
        <v>33.94</v>
      </c>
      <c r="L401" s="7">
        <f t="shared" si="13"/>
        <v>13.58</v>
      </c>
    </row>
    <row r="402" spans="1:12" x14ac:dyDescent="0.3">
      <c r="A402" s="2">
        <v>401</v>
      </c>
      <c r="B402" s="38">
        <v>45689</v>
      </c>
      <c r="C402" s="12" t="s">
        <v>20</v>
      </c>
      <c r="D402" s="4" t="s">
        <v>432</v>
      </c>
      <c r="E402" s="2" t="s">
        <v>13</v>
      </c>
      <c r="F402" s="16">
        <v>3</v>
      </c>
      <c r="G402" s="17" t="s">
        <v>34</v>
      </c>
      <c r="H402" s="2" t="s">
        <v>27</v>
      </c>
      <c r="I402" s="2">
        <v>16.7</v>
      </c>
      <c r="J402" s="2">
        <v>20</v>
      </c>
      <c r="K402" s="2">
        <f t="shared" si="12"/>
        <v>3.34</v>
      </c>
      <c r="L402" s="2">
        <f t="shared" si="13"/>
        <v>1.34</v>
      </c>
    </row>
    <row r="403" spans="1:12" x14ac:dyDescent="0.3">
      <c r="A403" s="7">
        <v>402</v>
      </c>
      <c r="B403" s="39">
        <v>45784</v>
      </c>
      <c r="C403" s="15" t="s">
        <v>31</v>
      </c>
      <c r="D403" s="9" t="s">
        <v>433</v>
      </c>
      <c r="E403" s="7" t="s">
        <v>13</v>
      </c>
      <c r="F403" s="5">
        <v>4</v>
      </c>
      <c r="G403" s="6" t="s">
        <v>14</v>
      </c>
      <c r="H403" s="7" t="s">
        <v>24</v>
      </c>
      <c r="I403" s="7">
        <v>38.5</v>
      </c>
      <c r="J403" s="7">
        <v>28</v>
      </c>
      <c r="K403" s="7">
        <f t="shared" si="12"/>
        <v>10.78</v>
      </c>
      <c r="L403" s="7">
        <f t="shared" si="13"/>
        <v>4.3099999999999996</v>
      </c>
    </row>
    <row r="404" spans="1:12" x14ac:dyDescent="0.3">
      <c r="A404" s="2">
        <v>403</v>
      </c>
      <c r="B404" s="38">
        <v>45767</v>
      </c>
      <c r="C404" s="8" t="s">
        <v>16</v>
      </c>
      <c r="D404" s="4" t="s">
        <v>434</v>
      </c>
      <c r="E404" s="2" t="s">
        <v>22</v>
      </c>
      <c r="F404" s="5">
        <v>4</v>
      </c>
      <c r="G404" s="6" t="s">
        <v>14</v>
      </c>
      <c r="H404" s="2" t="s">
        <v>15</v>
      </c>
      <c r="I404" s="2">
        <v>59.9</v>
      </c>
      <c r="J404" s="2">
        <v>13</v>
      </c>
      <c r="K404" s="2">
        <f t="shared" si="12"/>
        <v>7.79</v>
      </c>
      <c r="L404" s="2">
        <f t="shared" si="13"/>
        <v>3.12</v>
      </c>
    </row>
    <row r="405" spans="1:12" x14ac:dyDescent="0.3">
      <c r="A405" s="7">
        <v>404</v>
      </c>
      <c r="B405" s="39">
        <v>45676</v>
      </c>
      <c r="C405" s="18" t="s">
        <v>40</v>
      </c>
      <c r="D405" s="9" t="s">
        <v>435</v>
      </c>
      <c r="E405" s="7" t="s">
        <v>22</v>
      </c>
      <c r="F405" s="5">
        <v>4</v>
      </c>
      <c r="G405" s="6" t="s">
        <v>14</v>
      </c>
      <c r="H405" s="7" t="s">
        <v>19</v>
      </c>
      <c r="I405" s="7">
        <v>24.6</v>
      </c>
      <c r="J405" s="7">
        <v>14</v>
      </c>
      <c r="K405" s="7">
        <f t="shared" si="12"/>
        <v>3.44</v>
      </c>
      <c r="L405" s="7">
        <f t="shared" si="13"/>
        <v>1.38</v>
      </c>
    </row>
    <row r="406" spans="1:12" x14ac:dyDescent="0.3">
      <c r="A406" s="2">
        <v>405</v>
      </c>
      <c r="B406" s="38">
        <v>45668</v>
      </c>
      <c r="C406" s="3" t="s">
        <v>11</v>
      </c>
      <c r="D406" s="4" t="s">
        <v>436</v>
      </c>
      <c r="E406" s="2" t="s">
        <v>44</v>
      </c>
      <c r="F406" s="5">
        <v>4</v>
      </c>
      <c r="G406" s="6" t="s">
        <v>14</v>
      </c>
      <c r="H406" s="2" t="s">
        <v>27</v>
      </c>
      <c r="I406" s="2">
        <v>40.799999999999997</v>
      </c>
      <c r="J406" s="2">
        <v>15</v>
      </c>
      <c r="K406" s="2">
        <f t="shared" si="12"/>
        <v>6.12</v>
      </c>
      <c r="L406" s="2">
        <f t="shared" si="13"/>
        <v>2.4500000000000002</v>
      </c>
    </row>
    <row r="407" spans="1:12" x14ac:dyDescent="0.3">
      <c r="A407" s="7">
        <v>406</v>
      </c>
      <c r="B407" s="39">
        <v>45748</v>
      </c>
      <c r="C407" s="8" t="s">
        <v>16</v>
      </c>
      <c r="D407" s="9" t="s">
        <v>437</v>
      </c>
      <c r="E407" s="7" t="s">
        <v>46</v>
      </c>
      <c r="F407" s="5">
        <v>4</v>
      </c>
      <c r="G407" s="6" t="s">
        <v>14</v>
      </c>
      <c r="H407" s="7" t="s">
        <v>24</v>
      </c>
      <c r="I407" s="7">
        <v>32.799999999999997</v>
      </c>
      <c r="J407" s="7">
        <v>12</v>
      </c>
      <c r="K407" s="7">
        <f t="shared" si="12"/>
        <v>3.94</v>
      </c>
      <c r="L407" s="7">
        <f t="shared" si="13"/>
        <v>1.58</v>
      </c>
    </row>
    <row r="408" spans="1:12" x14ac:dyDescent="0.3">
      <c r="A408" s="2">
        <v>407</v>
      </c>
      <c r="B408" s="38">
        <v>45699</v>
      </c>
      <c r="C408" s="12" t="s">
        <v>20</v>
      </c>
      <c r="D408" s="4" t="s">
        <v>438</v>
      </c>
      <c r="E408" s="2" t="s">
        <v>46</v>
      </c>
      <c r="F408" s="16">
        <v>3</v>
      </c>
      <c r="G408" s="17" t="s">
        <v>34</v>
      </c>
      <c r="H408" s="2" t="s">
        <v>15</v>
      </c>
      <c r="I408" s="2">
        <v>19</v>
      </c>
      <c r="J408" s="2">
        <v>14</v>
      </c>
      <c r="K408" s="2">
        <f t="shared" si="12"/>
        <v>2.66</v>
      </c>
      <c r="L408" s="2">
        <f t="shared" si="13"/>
        <v>1.06</v>
      </c>
    </row>
    <row r="409" spans="1:12" x14ac:dyDescent="0.3">
      <c r="A409" s="7">
        <v>408</v>
      </c>
      <c r="B409" s="39">
        <v>45813</v>
      </c>
      <c r="C409" s="3" t="s">
        <v>11</v>
      </c>
      <c r="D409" s="9" t="s">
        <v>439</v>
      </c>
      <c r="E409" s="7" t="s">
        <v>26</v>
      </c>
      <c r="F409" s="16">
        <v>3</v>
      </c>
      <c r="G409" s="17" t="s">
        <v>34</v>
      </c>
      <c r="H409" s="7" t="s">
        <v>27</v>
      </c>
      <c r="I409" s="7">
        <v>17.399999999999999</v>
      </c>
      <c r="J409" s="7">
        <v>15</v>
      </c>
      <c r="K409" s="7">
        <f t="shared" si="12"/>
        <v>2.61</v>
      </c>
      <c r="L409" s="7">
        <f t="shared" si="13"/>
        <v>1.04</v>
      </c>
    </row>
    <row r="410" spans="1:12" x14ac:dyDescent="0.3">
      <c r="A410" s="2">
        <v>409</v>
      </c>
      <c r="B410" s="38">
        <v>45832</v>
      </c>
      <c r="C410" s="3" t="s">
        <v>11</v>
      </c>
      <c r="D410" s="4" t="s">
        <v>440</v>
      </c>
      <c r="E410" s="2" t="s">
        <v>29</v>
      </c>
      <c r="F410" s="10">
        <v>5</v>
      </c>
      <c r="G410" s="11" t="s">
        <v>18</v>
      </c>
      <c r="H410" s="2" t="s">
        <v>27</v>
      </c>
      <c r="I410" s="2">
        <v>123.8</v>
      </c>
      <c r="J410" s="2">
        <v>12</v>
      </c>
      <c r="K410" s="2">
        <f t="shared" si="12"/>
        <v>14.86</v>
      </c>
      <c r="L410" s="2">
        <f t="shared" si="13"/>
        <v>5.94</v>
      </c>
    </row>
    <row r="411" spans="1:12" x14ac:dyDescent="0.3">
      <c r="A411" s="7">
        <v>410</v>
      </c>
      <c r="B411" s="39">
        <v>45739</v>
      </c>
      <c r="C411" s="12" t="s">
        <v>20</v>
      </c>
      <c r="D411" s="9" t="s">
        <v>92</v>
      </c>
      <c r="E411" s="7" t="s">
        <v>46</v>
      </c>
      <c r="F411" s="10">
        <v>5</v>
      </c>
      <c r="G411" s="11" t="s">
        <v>18</v>
      </c>
      <c r="H411" s="7" t="s">
        <v>24</v>
      </c>
      <c r="I411" s="7">
        <v>43.1</v>
      </c>
      <c r="J411" s="7">
        <v>15</v>
      </c>
      <c r="K411" s="7">
        <f t="shared" si="12"/>
        <v>6.47</v>
      </c>
      <c r="L411" s="7">
        <f t="shared" si="13"/>
        <v>2.59</v>
      </c>
    </row>
    <row r="412" spans="1:12" x14ac:dyDescent="0.3">
      <c r="A412" s="2">
        <v>411</v>
      </c>
      <c r="B412" s="38">
        <v>45743</v>
      </c>
      <c r="C412" s="3" t="s">
        <v>11</v>
      </c>
      <c r="D412" s="4" t="s">
        <v>441</v>
      </c>
      <c r="E412" s="2" t="s">
        <v>46</v>
      </c>
      <c r="F412" s="5">
        <v>4</v>
      </c>
      <c r="G412" s="6" t="s">
        <v>14</v>
      </c>
      <c r="H412" s="2" t="s">
        <v>19</v>
      </c>
      <c r="I412" s="2">
        <v>48.2</v>
      </c>
      <c r="J412" s="2">
        <v>13</v>
      </c>
      <c r="K412" s="2">
        <f t="shared" si="12"/>
        <v>6.27</v>
      </c>
      <c r="L412" s="2">
        <f t="shared" si="13"/>
        <v>2.5099999999999998</v>
      </c>
    </row>
    <row r="413" spans="1:12" x14ac:dyDescent="0.3">
      <c r="A413" s="7">
        <v>412</v>
      </c>
      <c r="B413" s="39">
        <v>45827</v>
      </c>
      <c r="C413" s="15" t="s">
        <v>31</v>
      </c>
      <c r="D413" s="9" t="s">
        <v>442</v>
      </c>
      <c r="E413" s="7" t="s">
        <v>29</v>
      </c>
      <c r="F413" s="5">
        <v>4</v>
      </c>
      <c r="G413" s="6" t="s">
        <v>14</v>
      </c>
      <c r="H413" s="7" t="s">
        <v>48</v>
      </c>
      <c r="I413" s="7">
        <v>27.5</v>
      </c>
      <c r="J413" s="7">
        <v>23</v>
      </c>
      <c r="K413" s="7">
        <f t="shared" si="12"/>
        <v>6.33</v>
      </c>
      <c r="L413" s="7">
        <f t="shared" si="13"/>
        <v>2.5299999999999998</v>
      </c>
    </row>
    <row r="414" spans="1:12" x14ac:dyDescent="0.3">
      <c r="A414" s="2">
        <v>413</v>
      </c>
      <c r="B414" s="38">
        <v>45741</v>
      </c>
      <c r="C414" s="15" t="s">
        <v>31</v>
      </c>
      <c r="D414" s="4" t="s">
        <v>443</v>
      </c>
      <c r="E414" s="2" t="s">
        <v>46</v>
      </c>
      <c r="F414" s="16">
        <v>3</v>
      </c>
      <c r="G414" s="17" t="s">
        <v>34</v>
      </c>
      <c r="H414" s="2" t="s">
        <v>24</v>
      </c>
      <c r="I414" s="2">
        <v>17</v>
      </c>
      <c r="J414" s="2">
        <v>28</v>
      </c>
      <c r="K414" s="2">
        <f t="shared" si="12"/>
        <v>4.76</v>
      </c>
      <c r="L414" s="2">
        <f t="shared" si="13"/>
        <v>1.9</v>
      </c>
    </row>
    <row r="415" spans="1:12" x14ac:dyDescent="0.3">
      <c r="A415" s="7">
        <v>414</v>
      </c>
      <c r="B415" s="39">
        <v>45666</v>
      </c>
      <c r="C415" s="18" t="s">
        <v>40</v>
      </c>
      <c r="D415" s="9" t="s">
        <v>444</v>
      </c>
      <c r="E415" s="7" t="s">
        <v>26</v>
      </c>
      <c r="F415" s="5">
        <v>4</v>
      </c>
      <c r="G415" s="6" t="s">
        <v>14</v>
      </c>
      <c r="H415" s="7" t="s">
        <v>24</v>
      </c>
      <c r="I415" s="7">
        <v>43.5</v>
      </c>
      <c r="J415" s="7">
        <v>17</v>
      </c>
      <c r="K415" s="7">
        <f t="shared" si="12"/>
        <v>7.4</v>
      </c>
      <c r="L415" s="7">
        <f t="shared" si="13"/>
        <v>2.96</v>
      </c>
    </row>
    <row r="416" spans="1:12" x14ac:dyDescent="0.3">
      <c r="A416" s="2">
        <v>415</v>
      </c>
      <c r="B416" s="38">
        <v>45754</v>
      </c>
      <c r="C416" s="18" t="s">
        <v>40</v>
      </c>
      <c r="D416" s="4" t="s">
        <v>445</v>
      </c>
      <c r="E416" s="2" t="s">
        <v>33</v>
      </c>
      <c r="F416" s="5">
        <v>4</v>
      </c>
      <c r="G416" s="6" t="s">
        <v>14</v>
      </c>
      <c r="H416" s="2" t="s">
        <v>27</v>
      </c>
      <c r="I416" s="2">
        <v>52.5</v>
      </c>
      <c r="J416" s="2">
        <v>16</v>
      </c>
      <c r="K416" s="2">
        <f t="shared" si="12"/>
        <v>8.4</v>
      </c>
      <c r="L416" s="2">
        <f t="shared" si="13"/>
        <v>3.36</v>
      </c>
    </row>
    <row r="417" spans="1:12" x14ac:dyDescent="0.3">
      <c r="A417" s="7">
        <v>416</v>
      </c>
      <c r="B417" s="39">
        <v>45727</v>
      </c>
      <c r="C417" s="12" t="s">
        <v>20</v>
      </c>
      <c r="D417" s="9" t="s">
        <v>446</v>
      </c>
      <c r="E417" s="7" t="s">
        <v>29</v>
      </c>
      <c r="F417" s="16">
        <v>3</v>
      </c>
      <c r="G417" s="17" t="s">
        <v>34</v>
      </c>
      <c r="H417" s="7" t="s">
        <v>27</v>
      </c>
      <c r="I417" s="7">
        <v>13.3</v>
      </c>
      <c r="J417" s="7">
        <v>15</v>
      </c>
      <c r="K417" s="7">
        <f t="shared" si="12"/>
        <v>2</v>
      </c>
      <c r="L417" s="7">
        <f t="shared" si="13"/>
        <v>0.8</v>
      </c>
    </row>
    <row r="418" spans="1:12" x14ac:dyDescent="0.3">
      <c r="A418" s="2">
        <v>417</v>
      </c>
      <c r="B418" s="38">
        <v>45814</v>
      </c>
      <c r="C418" s="18" t="s">
        <v>40</v>
      </c>
      <c r="D418" s="4" t="s">
        <v>447</v>
      </c>
      <c r="E418" s="2" t="s">
        <v>36</v>
      </c>
      <c r="F418" s="16">
        <v>3</v>
      </c>
      <c r="G418" s="17" t="s">
        <v>34</v>
      </c>
      <c r="H418" s="2" t="s">
        <v>27</v>
      </c>
      <c r="I418" s="2">
        <v>16.7</v>
      </c>
      <c r="J418" s="2">
        <v>18</v>
      </c>
      <c r="K418" s="2">
        <f t="shared" si="12"/>
        <v>3.01</v>
      </c>
      <c r="L418" s="2">
        <f t="shared" si="13"/>
        <v>1.2</v>
      </c>
    </row>
    <row r="419" spans="1:12" x14ac:dyDescent="0.3">
      <c r="A419" s="7">
        <v>418</v>
      </c>
      <c r="B419" s="39">
        <v>45716</v>
      </c>
      <c r="C419" s="18" t="s">
        <v>40</v>
      </c>
      <c r="D419" s="9" t="s">
        <v>448</v>
      </c>
      <c r="E419" s="7" t="s">
        <v>44</v>
      </c>
      <c r="F419" s="5">
        <v>4</v>
      </c>
      <c r="G419" s="6" t="s">
        <v>14</v>
      </c>
      <c r="H419" s="7" t="s">
        <v>24</v>
      </c>
      <c r="I419" s="7">
        <v>27.4</v>
      </c>
      <c r="J419" s="7">
        <v>22</v>
      </c>
      <c r="K419" s="7">
        <f t="shared" si="12"/>
        <v>6.03</v>
      </c>
      <c r="L419" s="7">
        <f t="shared" si="13"/>
        <v>2.41</v>
      </c>
    </row>
    <row r="420" spans="1:12" x14ac:dyDescent="0.3">
      <c r="A420" s="2">
        <v>419</v>
      </c>
      <c r="B420" s="38">
        <v>45798</v>
      </c>
      <c r="C420" s="3" t="s">
        <v>11</v>
      </c>
      <c r="D420" s="4" t="s">
        <v>449</v>
      </c>
      <c r="E420" s="2" t="s">
        <v>26</v>
      </c>
      <c r="F420" s="10">
        <v>5</v>
      </c>
      <c r="G420" s="11" t="s">
        <v>18</v>
      </c>
      <c r="H420" s="2" t="s">
        <v>27</v>
      </c>
      <c r="I420" s="2">
        <v>98.3</v>
      </c>
      <c r="J420" s="2">
        <v>17</v>
      </c>
      <c r="K420" s="2">
        <f t="shared" si="12"/>
        <v>16.71</v>
      </c>
      <c r="L420" s="2">
        <f t="shared" si="13"/>
        <v>6.68</v>
      </c>
    </row>
    <row r="421" spans="1:12" x14ac:dyDescent="0.3">
      <c r="A421" s="7">
        <v>420</v>
      </c>
      <c r="B421" s="39">
        <v>45696</v>
      </c>
      <c r="C421" s="8" t="s">
        <v>16</v>
      </c>
      <c r="D421" s="9" t="s">
        <v>450</v>
      </c>
      <c r="E421" s="7" t="s">
        <v>44</v>
      </c>
      <c r="F421" s="16">
        <v>3</v>
      </c>
      <c r="G421" s="17" t="s">
        <v>34</v>
      </c>
      <c r="H421" s="7" t="s">
        <v>24</v>
      </c>
      <c r="I421" s="7">
        <v>18.5</v>
      </c>
      <c r="J421" s="7">
        <v>16</v>
      </c>
      <c r="K421" s="7">
        <f t="shared" si="12"/>
        <v>2.96</v>
      </c>
      <c r="L421" s="7">
        <f t="shared" si="13"/>
        <v>1.18</v>
      </c>
    </row>
    <row r="422" spans="1:12" x14ac:dyDescent="0.3">
      <c r="A422" s="2">
        <v>421</v>
      </c>
      <c r="B422" s="38">
        <v>45835</v>
      </c>
      <c r="C422" s="3" t="s">
        <v>11</v>
      </c>
      <c r="D422" s="4" t="s">
        <v>451</v>
      </c>
      <c r="E422" s="2" t="s">
        <v>13</v>
      </c>
      <c r="F422" s="5">
        <v>4</v>
      </c>
      <c r="G422" s="6" t="s">
        <v>14</v>
      </c>
      <c r="H422" s="2" t="s">
        <v>27</v>
      </c>
      <c r="I422" s="2">
        <v>52.6</v>
      </c>
      <c r="J422" s="2">
        <v>17</v>
      </c>
      <c r="K422" s="2">
        <f t="shared" si="12"/>
        <v>8.94</v>
      </c>
      <c r="L422" s="2">
        <f t="shared" si="13"/>
        <v>3.58</v>
      </c>
    </row>
    <row r="423" spans="1:12" x14ac:dyDescent="0.3">
      <c r="A423" s="7">
        <v>422</v>
      </c>
      <c r="B423" s="39">
        <v>45830</v>
      </c>
      <c r="C423" s="8" t="s">
        <v>16</v>
      </c>
      <c r="D423" s="9" t="s">
        <v>452</v>
      </c>
      <c r="E423" s="7" t="s">
        <v>22</v>
      </c>
      <c r="F423" s="5">
        <v>4</v>
      </c>
      <c r="G423" s="6" t="s">
        <v>14</v>
      </c>
      <c r="H423" s="7" t="s">
        <v>24</v>
      </c>
      <c r="I423" s="7">
        <v>39.5</v>
      </c>
      <c r="J423" s="7">
        <v>10</v>
      </c>
      <c r="K423" s="7">
        <f t="shared" si="12"/>
        <v>3.95</v>
      </c>
      <c r="L423" s="7">
        <f t="shared" si="13"/>
        <v>1.58</v>
      </c>
    </row>
    <row r="424" spans="1:12" x14ac:dyDescent="0.3">
      <c r="A424" s="2">
        <v>423</v>
      </c>
      <c r="B424" s="38">
        <v>45662</v>
      </c>
      <c r="C424" s="12" t="s">
        <v>20</v>
      </c>
      <c r="D424" s="4" t="s">
        <v>453</v>
      </c>
      <c r="E424" s="2" t="s">
        <v>13</v>
      </c>
      <c r="F424" s="10">
        <v>5</v>
      </c>
      <c r="G424" s="11" t="s">
        <v>18</v>
      </c>
      <c r="H424" s="2" t="s">
        <v>27</v>
      </c>
      <c r="I424" s="2">
        <v>70.7</v>
      </c>
      <c r="J424" s="2">
        <v>16</v>
      </c>
      <c r="K424" s="2">
        <f t="shared" si="12"/>
        <v>11.31</v>
      </c>
      <c r="L424" s="2">
        <f t="shared" si="13"/>
        <v>4.5199999999999996</v>
      </c>
    </row>
    <row r="425" spans="1:12" x14ac:dyDescent="0.3">
      <c r="A425" s="7">
        <v>424</v>
      </c>
      <c r="B425" s="39">
        <v>45731</v>
      </c>
      <c r="C425" s="12" t="s">
        <v>20</v>
      </c>
      <c r="D425" s="9" t="s">
        <v>454</v>
      </c>
      <c r="E425" s="7" t="s">
        <v>29</v>
      </c>
      <c r="F425" s="5">
        <v>4</v>
      </c>
      <c r="G425" s="6" t="s">
        <v>14</v>
      </c>
      <c r="H425" s="7" t="s">
        <v>24</v>
      </c>
      <c r="I425" s="7">
        <v>42.6</v>
      </c>
      <c r="J425" s="7">
        <v>19</v>
      </c>
      <c r="K425" s="7">
        <f t="shared" si="12"/>
        <v>8.09</v>
      </c>
      <c r="L425" s="7">
        <f t="shared" si="13"/>
        <v>3.24</v>
      </c>
    </row>
    <row r="426" spans="1:12" x14ac:dyDescent="0.3">
      <c r="A426" s="2">
        <v>425</v>
      </c>
      <c r="B426" s="38">
        <v>45760</v>
      </c>
      <c r="C426" s="8" t="s">
        <v>16</v>
      </c>
      <c r="D426" s="4" t="s">
        <v>455</v>
      </c>
      <c r="E426" s="2" t="s">
        <v>13</v>
      </c>
      <c r="F426" s="16">
        <v>3</v>
      </c>
      <c r="G426" s="17" t="s">
        <v>34</v>
      </c>
      <c r="H426" s="2" t="s">
        <v>19</v>
      </c>
      <c r="I426" s="2">
        <v>12.6</v>
      </c>
      <c r="J426" s="2">
        <v>14</v>
      </c>
      <c r="K426" s="2">
        <f t="shared" si="12"/>
        <v>1.76</v>
      </c>
      <c r="L426" s="2">
        <f t="shared" si="13"/>
        <v>0.7</v>
      </c>
    </row>
    <row r="427" spans="1:12" x14ac:dyDescent="0.3">
      <c r="A427" s="7">
        <v>426</v>
      </c>
      <c r="B427" s="39">
        <v>45765</v>
      </c>
      <c r="C427" s="12" t="s">
        <v>20</v>
      </c>
      <c r="D427" s="9" t="s">
        <v>456</v>
      </c>
      <c r="E427" s="7" t="s">
        <v>29</v>
      </c>
      <c r="F427" s="10">
        <v>5</v>
      </c>
      <c r="G427" s="11" t="s">
        <v>18</v>
      </c>
      <c r="H427" s="7" t="s">
        <v>19</v>
      </c>
      <c r="I427" s="7">
        <v>119.8</v>
      </c>
      <c r="J427" s="7">
        <v>19</v>
      </c>
      <c r="K427" s="7">
        <f t="shared" si="12"/>
        <v>22.76</v>
      </c>
      <c r="L427" s="7">
        <f t="shared" si="13"/>
        <v>9.1</v>
      </c>
    </row>
    <row r="428" spans="1:12" x14ac:dyDescent="0.3">
      <c r="A428" s="2">
        <v>427</v>
      </c>
      <c r="B428" s="38">
        <v>45789</v>
      </c>
      <c r="C428" s="15" t="s">
        <v>31</v>
      </c>
      <c r="D428" s="4" t="s">
        <v>457</v>
      </c>
      <c r="E428" s="2" t="s">
        <v>13</v>
      </c>
      <c r="F428" s="10">
        <v>5</v>
      </c>
      <c r="G428" s="11" t="s">
        <v>18</v>
      </c>
      <c r="H428" s="2" t="s">
        <v>19</v>
      </c>
      <c r="I428" s="2">
        <v>117.3</v>
      </c>
      <c r="J428" s="2">
        <v>28</v>
      </c>
      <c r="K428" s="2">
        <f t="shared" si="12"/>
        <v>32.840000000000003</v>
      </c>
      <c r="L428" s="2">
        <f t="shared" si="13"/>
        <v>13.14</v>
      </c>
    </row>
    <row r="429" spans="1:12" x14ac:dyDescent="0.3">
      <c r="A429" s="7">
        <v>428</v>
      </c>
      <c r="B429" s="39">
        <v>45716</v>
      </c>
      <c r="C429" s="3" t="s">
        <v>11</v>
      </c>
      <c r="D429" s="9" t="s">
        <v>458</v>
      </c>
      <c r="E429" s="7" t="s">
        <v>36</v>
      </c>
      <c r="F429" s="5">
        <v>4</v>
      </c>
      <c r="G429" s="6" t="s">
        <v>14</v>
      </c>
      <c r="H429" s="7" t="s">
        <v>19</v>
      </c>
      <c r="I429" s="7">
        <v>38</v>
      </c>
      <c r="J429" s="7">
        <v>15</v>
      </c>
      <c r="K429" s="7">
        <f t="shared" si="12"/>
        <v>5.7</v>
      </c>
      <c r="L429" s="7">
        <f t="shared" si="13"/>
        <v>2.2799999999999998</v>
      </c>
    </row>
    <row r="430" spans="1:12" x14ac:dyDescent="0.3">
      <c r="A430" s="2">
        <v>429</v>
      </c>
      <c r="B430" s="38">
        <v>45702</v>
      </c>
      <c r="C430" s="15" t="s">
        <v>31</v>
      </c>
      <c r="D430" s="4" t="s">
        <v>459</v>
      </c>
      <c r="E430" s="2" t="s">
        <v>29</v>
      </c>
      <c r="F430" s="5">
        <v>4</v>
      </c>
      <c r="G430" s="6" t="s">
        <v>14</v>
      </c>
      <c r="H430" s="2" t="s">
        <v>19</v>
      </c>
      <c r="I430" s="2">
        <v>51</v>
      </c>
      <c r="J430" s="2">
        <v>21</v>
      </c>
      <c r="K430" s="2">
        <f t="shared" si="12"/>
        <v>10.71</v>
      </c>
      <c r="L430" s="2">
        <f t="shared" si="13"/>
        <v>4.28</v>
      </c>
    </row>
    <row r="431" spans="1:12" x14ac:dyDescent="0.3">
      <c r="A431" s="7">
        <v>430</v>
      </c>
      <c r="B431" s="39">
        <v>45792</v>
      </c>
      <c r="C431" s="15" t="s">
        <v>31</v>
      </c>
      <c r="D431" s="9" t="s">
        <v>460</v>
      </c>
      <c r="E431" s="7" t="s">
        <v>22</v>
      </c>
      <c r="F431" s="10">
        <v>5</v>
      </c>
      <c r="G431" s="11" t="s">
        <v>18</v>
      </c>
      <c r="H431" s="7" t="s">
        <v>48</v>
      </c>
      <c r="I431" s="7">
        <v>106.4</v>
      </c>
      <c r="J431" s="7">
        <v>20</v>
      </c>
      <c r="K431" s="7">
        <f t="shared" si="12"/>
        <v>21.28</v>
      </c>
      <c r="L431" s="7">
        <f t="shared" si="13"/>
        <v>8.51</v>
      </c>
    </row>
    <row r="432" spans="1:12" x14ac:dyDescent="0.3">
      <c r="A432" s="2">
        <v>431</v>
      </c>
      <c r="B432" s="38">
        <v>45762</v>
      </c>
      <c r="C432" s="18" t="s">
        <v>40</v>
      </c>
      <c r="D432" s="4" t="s">
        <v>461</v>
      </c>
      <c r="E432" s="2" t="s">
        <v>44</v>
      </c>
      <c r="F432" s="10">
        <v>5</v>
      </c>
      <c r="G432" s="11" t="s">
        <v>18</v>
      </c>
      <c r="H432" s="2" t="s">
        <v>27</v>
      </c>
      <c r="I432" s="2">
        <v>124.6</v>
      </c>
      <c r="J432" s="2">
        <v>21</v>
      </c>
      <c r="K432" s="2">
        <f t="shared" si="12"/>
        <v>26.17</v>
      </c>
      <c r="L432" s="2">
        <f t="shared" si="13"/>
        <v>10.47</v>
      </c>
    </row>
    <row r="433" spans="1:12" x14ac:dyDescent="0.3">
      <c r="A433" s="7">
        <v>432</v>
      </c>
      <c r="B433" s="39">
        <v>45671</v>
      </c>
      <c r="C433" s="3" t="s">
        <v>11</v>
      </c>
      <c r="D433" s="9" t="s">
        <v>462</v>
      </c>
      <c r="E433" s="7" t="s">
        <v>46</v>
      </c>
      <c r="F433" s="5">
        <v>4</v>
      </c>
      <c r="G433" s="6" t="s">
        <v>14</v>
      </c>
      <c r="H433" s="7" t="s">
        <v>48</v>
      </c>
      <c r="I433" s="7">
        <v>26.7</v>
      </c>
      <c r="J433" s="7">
        <v>14</v>
      </c>
      <c r="K433" s="7">
        <f t="shared" si="12"/>
        <v>3.74</v>
      </c>
      <c r="L433" s="7">
        <f t="shared" si="13"/>
        <v>1.5</v>
      </c>
    </row>
    <row r="434" spans="1:12" x14ac:dyDescent="0.3">
      <c r="A434" s="2">
        <v>433</v>
      </c>
      <c r="B434" s="38">
        <v>45712</v>
      </c>
      <c r="C434" s="15" t="s">
        <v>31</v>
      </c>
      <c r="D434" s="4" t="s">
        <v>463</v>
      </c>
      <c r="E434" s="2" t="s">
        <v>36</v>
      </c>
      <c r="F434" s="10">
        <v>5</v>
      </c>
      <c r="G434" s="11" t="s">
        <v>18</v>
      </c>
      <c r="H434" s="2" t="s">
        <v>48</v>
      </c>
      <c r="I434" s="2">
        <v>143.5</v>
      </c>
      <c r="J434" s="2">
        <v>28</v>
      </c>
      <c r="K434" s="2">
        <f t="shared" si="12"/>
        <v>40.18</v>
      </c>
      <c r="L434" s="2">
        <f t="shared" si="13"/>
        <v>16.07</v>
      </c>
    </row>
    <row r="435" spans="1:12" x14ac:dyDescent="0.3">
      <c r="A435" s="7">
        <v>434</v>
      </c>
      <c r="B435" s="39">
        <v>45719</v>
      </c>
      <c r="C435" s="12" t="s">
        <v>20</v>
      </c>
      <c r="D435" s="9" t="s">
        <v>464</v>
      </c>
      <c r="E435" s="7" t="s">
        <v>44</v>
      </c>
      <c r="F435" s="10">
        <v>5</v>
      </c>
      <c r="G435" s="11" t="s">
        <v>18</v>
      </c>
      <c r="H435" s="7" t="s">
        <v>24</v>
      </c>
      <c r="I435" s="7">
        <v>136.5</v>
      </c>
      <c r="J435" s="7">
        <v>16</v>
      </c>
      <c r="K435" s="7">
        <f t="shared" si="12"/>
        <v>21.84</v>
      </c>
      <c r="L435" s="7">
        <f t="shared" si="13"/>
        <v>8.74</v>
      </c>
    </row>
    <row r="436" spans="1:12" x14ac:dyDescent="0.3">
      <c r="A436" s="2">
        <v>435</v>
      </c>
      <c r="B436" s="38">
        <v>45823</v>
      </c>
      <c r="C436" s="15" t="s">
        <v>31</v>
      </c>
      <c r="D436" s="4" t="s">
        <v>465</v>
      </c>
      <c r="E436" s="2" t="s">
        <v>33</v>
      </c>
      <c r="F436" s="10">
        <v>5</v>
      </c>
      <c r="G436" s="11" t="s">
        <v>18</v>
      </c>
      <c r="H436" s="2" t="s">
        <v>27</v>
      </c>
      <c r="I436" s="2">
        <v>66.2</v>
      </c>
      <c r="J436" s="2">
        <v>23</v>
      </c>
      <c r="K436" s="2">
        <f t="shared" si="12"/>
        <v>15.23</v>
      </c>
      <c r="L436" s="2">
        <f t="shared" si="13"/>
        <v>6.09</v>
      </c>
    </row>
    <row r="437" spans="1:12" x14ac:dyDescent="0.3">
      <c r="A437" s="7">
        <v>436</v>
      </c>
      <c r="B437" s="39">
        <v>45724</v>
      </c>
      <c r="C437" s="12" t="s">
        <v>20</v>
      </c>
      <c r="D437" s="9" t="s">
        <v>466</v>
      </c>
      <c r="E437" s="7" t="s">
        <v>46</v>
      </c>
      <c r="F437" s="5">
        <v>4</v>
      </c>
      <c r="G437" s="6" t="s">
        <v>14</v>
      </c>
      <c r="H437" s="7" t="s">
        <v>27</v>
      </c>
      <c r="I437" s="7">
        <v>43.1</v>
      </c>
      <c r="J437" s="7">
        <v>16</v>
      </c>
      <c r="K437" s="7">
        <f t="shared" si="12"/>
        <v>6.9</v>
      </c>
      <c r="L437" s="7">
        <f t="shared" si="13"/>
        <v>2.76</v>
      </c>
    </row>
    <row r="438" spans="1:12" x14ac:dyDescent="0.3">
      <c r="A438" s="2">
        <v>437</v>
      </c>
      <c r="B438" s="38">
        <v>45699</v>
      </c>
      <c r="C438" s="15" t="s">
        <v>31</v>
      </c>
      <c r="D438" s="4" t="s">
        <v>467</v>
      </c>
      <c r="E438" s="2" t="s">
        <v>44</v>
      </c>
      <c r="F438" s="5">
        <v>4</v>
      </c>
      <c r="G438" s="6" t="s">
        <v>14</v>
      </c>
      <c r="H438" s="2" t="s">
        <v>19</v>
      </c>
      <c r="I438" s="2">
        <v>45.3</v>
      </c>
      <c r="J438" s="2">
        <v>19</v>
      </c>
      <c r="K438" s="2">
        <f t="shared" si="12"/>
        <v>8.61</v>
      </c>
      <c r="L438" s="2">
        <f t="shared" si="13"/>
        <v>3.44</v>
      </c>
    </row>
    <row r="439" spans="1:12" x14ac:dyDescent="0.3">
      <c r="A439" s="7">
        <v>438</v>
      </c>
      <c r="B439" s="39">
        <v>45803</v>
      </c>
      <c r="C439" s="15" t="s">
        <v>31</v>
      </c>
      <c r="D439" s="9" t="s">
        <v>468</v>
      </c>
      <c r="E439" s="7" t="s">
        <v>36</v>
      </c>
      <c r="F439" s="10">
        <v>5</v>
      </c>
      <c r="G439" s="11" t="s">
        <v>18</v>
      </c>
      <c r="H439" s="7" t="s">
        <v>15</v>
      </c>
      <c r="I439" s="7">
        <v>87.7</v>
      </c>
      <c r="J439" s="7">
        <v>25</v>
      </c>
      <c r="K439" s="7">
        <f t="shared" si="12"/>
        <v>21.93</v>
      </c>
      <c r="L439" s="7">
        <f t="shared" si="13"/>
        <v>8.77</v>
      </c>
    </row>
    <row r="440" spans="1:12" x14ac:dyDescent="0.3">
      <c r="A440" s="2">
        <v>439</v>
      </c>
      <c r="B440" s="38">
        <v>45682</v>
      </c>
      <c r="C440" s="8" t="s">
        <v>16</v>
      </c>
      <c r="D440" s="4" t="s">
        <v>469</v>
      </c>
      <c r="E440" s="2" t="s">
        <v>13</v>
      </c>
      <c r="F440" s="19">
        <v>1</v>
      </c>
      <c r="G440" s="14" t="s">
        <v>23</v>
      </c>
      <c r="H440" s="2" t="s">
        <v>19</v>
      </c>
      <c r="I440" s="2">
        <v>3.9</v>
      </c>
      <c r="J440" s="2">
        <v>13</v>
      </c>
      <c r="K440" s="2">
        <f t="shared" si="12"/>
        <v>0.51</v>
      </c>
      <c r="L440" s="2">
        <f t="shared" si="13"/>
        <v>0.2</v>
      </c>
    </row>
    <row r="441" spans="1:12" x14ac:dyDescent="0.3">
      <c r="A441" s="7">
        <v>440</v>
      </c>
      <c r="B441" s="39">
        <v>45769</v>
      </c>
      <c r="C441" s="12" t="s">
        <v>20</v>
      </c>
      <c r="D441" s="9" t="s">
        <v>470</v>
      </c>
      <c r="E441" s="7" t="s">
        <v>13</v>
      </c>
      <c r="F441" s="10">
        <v>5</v>
      </c>
      <c r="G441" s="11" t="s">
        <v>18</v>
      </c>
      <c r="H441" s="7" t="s">
        <v>24</v>
      </c>
      <c r="I441" s="7">
        <v>62.9</v>
      </c>
      <c r="J441" s="7">
        <v>18</v>
      </c>
      <c r="K441" s="7">
        <f t="shared" si="12"/>
        <v>11.32</v>
      </c>
      <c r="L441" s="7">
        <f t="shared" si="13"/>
        <v>4.53</v>
      </c>
    </row>
    <row r="442" spans="1:12" x14ac:dyDescent="0.3">
      <c r="A442" s="2">
        <v>441</v>
      </c>
      <c r="B442" s="38">
        <v>45659</v>
      </c>
      <c r="C442" s="8" t="s">
        <v>16</v>
      </c>
      <c r="D442" s="4" t="s">
        <v>471</v>
      </c>
      <c r="E442" s="2" t="s">
        <v>44</v>
      </c>
      <c r="F442" s="5">
        <v>4</v>
      </c>
      <c r="G442" s="6" t="s">
        <v>14</v>
      </c>
      <c r="H442" s="2" t="s">
        <v>15</v>
      </c>
      <c r="I442" s="2">
        <v>53.1</v>
      </c>
      <c r="J442" s="2">
        <v>12</v>
      </c>
      <c r="K442" s="2">
        <f t="shared" si="12"/>
        <v>6.37</v>
      </c>
      <c r="L442" s="2">
        <f t="shared" si="13"/>
        <v>2.5499999999999998</v>
      </c>
    </row>
    <row r="443" spans="1:12" x14ac:dyDescent="0.3">
      <c r="A443" s="7">
        <v>442</v>
      </c>
      <c r="B443" s="39">
        <v>45802</v>
      </c>
      <c r="C443" s="3" t="s">
        <v>11</v>
      </c>
      <c r="D443" s="9" t="s">
        <v>472</v>
      </c>
      <c r="E443" s="7" t="s">
        <v>46</v>
      </c>
      <c r="F443" s="16">
        <v>3</v>
      </c>
      <c r="G443" s="17" t="s">
        <v>34</v>
      </c>
      <c r="H443" s="7" t="s">
        <v>24</v>
      </c>
      <c r="I443" s="7">
        <v>21.4</v>
      </c>
      <c r="J443" s="7">
        <v>10</v>
      </c>
      <c r="K443" s="7">
        <f t="shared" si="12"/>
        <v>2.14</v>
      </c>
      <c r="L443" s="7">
        <f t="shared" si="13"/>
        <v>0.86</v>
      </c>
    </row>
    <row r="444" spans="1:12" x14ac:dyDescent="0.3">
      <c r="A444" s="2">
        <v>443</v>
      </c>
      <c r="B444" s="38">
        <v>45665</v>
      </c>
      <c r="C444" s="15" t="s">
        <v>31</v>
      </c>
      <c r="D444" s="4" t="s">
        <v>473</v>
      </c>
      <c r="E444" s="2" t="s">
        <v>29</v>
      </c>
      <c r="F444" s="5">
        <v>4</v>
      </c>
      <c r="G444" s="6" t="s">
        <v>14</v>
      </c>
      <c r="H444" s="2" t="s">
        <v>24</v>
      </c>
      <c r="I444" s="2">
        <v>20.7</v>
      </c>
      <c r="J444" s="2">
        <v>20</v>
      </c>
      <c r="K444" s="2">
        <f t="shared" si="12"/>
        <v>4.1399999999999997</v>
      </c>
      <c r="L444" s="2">
        <f t="shared" si="13"/>
        <v>1.66</v>
      </c>
    </row>
    <row r="445" spans="1:12" x14ac:dyDescent="0.3">
      <c r="A445" s="7">
        <v>444</v>
      </c>
      <c r="B445" s="39">
        <v>45709</v>
      </c>
      <c r="C445" s="3" t="s">
        <v>11</v>
      </c>
      <c r="D445" s="9" t="s">
        <v>474</v>
      </c>
      <c r="E445" s="7" t="s">
        <v>29</v>
      </c>
      <c r="F445" s="19">
        <v>1</v>
      </c>
      <c r="G445" s="14" t="s">
        <v>23</v>
      </c>
      <c r="H445" s="7" t="s">
        <v>24</v>
      </c>
      <c r="I445" s="7">
        <v>1.8</v>
      </c>
      <c r="J445" s="7">
        <v>12</v>
      </c>
      <c r="K445" s="7">
        <f t="shared" si="12"/>
        <v>0.22</v>
      </c>
      <c r="L445" s="7">
        <f t="shared" si="13"/>
        <v>0.09</v>
      </c>
    </row>
    <row r="446" spans="1:12" x14ac:dyDescent="0.3">
      <c r="A446" s="2">
        <v>445</v>
      </c>
      <c r="B446" s="38">
        <v>45691</v>
      </c>
      <c r="C446" s="18" t="s">
        <v>40</v>
      </c>
      <c r="D446" s="4" t="s">
        <v>475</v>
      </c>
      <c r="E446" s="2" t="s">
        <v>13</v>
      </c>
      <c r="F446" s="5">
        <v>4</v>
      </c>
      <c r="G446" s="6" t="s">
        <v>14</v>
      </c>
      <c r="H446" s="2" t="s">
        <v>15</v>
      </c>
      <c r="I446" s="2">
        <v>23.7</v>
      </c>
      <c r="J446" s="2">
        <v>17</v>
      </c>
      <c r="K446" s="2">
        <f t="shared" si="12"/>
        <v>4.03</v>
      </c>
      <c r="L446" s="2">
        <f t="shared" si="13"/>
        <v>1.61</v>
      </c>
    </row>
    <row r="447" spans="1:12" x14ac:dyDescent="0.3">
      <c r="A447" s="7">
        <v>446</v>
      </c>
      <c r="B447" s="39">
        <v>45704</v>
      </c>
      <c r="C447" s="3" t="s">
        <v>11</v>
      </c>
      <c r="D447" s="9" t="s">
        <v>476</v>
      </c>
      <c r="E447" s="7" t="s">
        <v>13</v>
      </c>
      <c r="F447" s="5">
        <v>4</v>
      </c>
      <c r="G447" s="6" t="s">
        <v>14</v>
      </c>
      <c r="H447" s="7" t="s">
        <v>27</v>
      </c>
      <c r="I447" s="7">
        <v>22.1</v>
      </c>
      <c r="J447" s="7">
        <v>14</v>
      </c>
      <c r="K447" s="7">
        <f t="shared" si="12"/>
        <v>3.09</v>
      </c>
      <c r="L447" s="7">
        <f t="shared" si="13"/>
        <v>1.24</v>
      </c>
    </row>
    <row r="448" spans="1:12" x14ac:dyDescent="0.3">
      <c r="A448" s="2">
        <v>447</v>
      </c>
      <c r="B448" s="38">
        <v>45819</v>
      </c>
      <c r="C448" s="12" t="s">
        <v>20</v>
      </c>
      <c r="D448" s="4" t="s">
        <v>477</v>
      </c>
      <c r="E448" s="2" t="s">
        <v>36</v>
      </c>
      <c r="F448" s="10">
        <v>5</v>
      </c>
      <c r="G448" s="11" t="s">
        <v>18</v>
      </c>
      <c r="H448" s="2" t="s">
        <v>19</v>
      </c>
      <c r="I448" s="2">
        <v>40.1</v>
      </c>
      <c r="J448" s="2">
        <v>19</v>
      </c>
      <c r="K448" s="2">
        <f t="shared" si="12"/>
        <v>7.62</v>
      </c>
      <c r="L448" s="2">
        <f t="shared" si="13"/>
        <v>3.05</v>
      </c>
    </row>
    <row r="449" spans="1:12" x14ac:dyDescent="0.3">
      <c r="A449" s="7">
        <v>448</v>
      </c>
      <c r="B449" s="39">
        <v>45734</v>
      </c>
      <c r="C449" s="15" t="s">
        <v>31</v>
      </c>
      <c r="D449" s="9" t="s">
        <v>478</v>
      </c>
      <c r="E449" s="7" t="s">
        <v>33</v>
      </c>
      <c r="F449" s="5">
        <v>4</v>
      </c>
      <c r="G449" s="6" t="s">
        <v>14</v>
      </c>
      <c r="H449" s="7" t="s">
        <v>48</v>
      </c>
      <c r="I449" s="7">
        <v>47.2</v>
      </c>
      <c r="J449" s="7">
        <v>18</v>
      </c>
      <c r="K449" s="7">
        <f t="shared" si="12"/>
        <v>8.5</v>
      </c>
      <c r="L449" s="7">
        <f t="shared" si="13"/>
        <v>3.4</v>
      </c>
    </row>
    <row r="450" spans="1:12" x14ac:dyDescent="0.3">
      <c r="A450" s="2">
        <v>449</v>
      </c>
      <c r="B450" s="38">
        <v>45673</v>
      </c>
      <c r="C450" s="18" t="s">
        <v>40</v>
      </c>
      <c r="D450" s="4" t="s">
        <v>479</v>
      </c>
      <c r="E450" s="2" t="s">
        <v>13</v>
      </c>
      <c r="F450" s="5">
        <v>4</v>
      </c>
      <c r="G450" s="6" t="s">
        <v>14</v>
      </c>
      <c r="H450" s="2" t="s">
        <v>19</v>
      </c>
      <c r="I450" s="2">
        <v>59.5</v>
      </c>
      <c r="J450" s="2">
        <v>18</v>
      </c>
      <c r="K450" s="2">
        <f t="shared" ref="K450:K513" si="14">ROUND(I450*J450/100,2)</f>
        <v>10.71</v>
      </c>
      <c r="L450" s="2">
        <f t="shared" ref="L450:L481" si="15">ROUND(K450*0.4,2)</f>
        <v>4.28</v>
      </c>
    </row>
    <row r="451" spans="1:12" x14ac:dyDescent="0.3">
      <c r="A451" s="7">
        <v>450</v>
      </c>
      <c r="B451" s="39">
        <v>45723</v>
      </c>
      <c r="C451" s="18" t="s">
        <v>40</v>
      </c>
      <c r="D451" s="9" t="s">
        <v>480</v>
      </c>
      <c r="E451" s="7" t="s">
        <v>44</v>
      </c>
      <c r="F451" s="5">
        <v>4</v>
      </c>
      <c r="G451" s="6" t="s">
        <v>14</v>
      </c>
      <c r="H451" s="7" t="s">
        <v>27</v>
      </c>
      <c r="I451" s="7">
        <v>35.299999999999997</v>
      </c>
      <c r="J451" s="7">
        <v>13</v>
      </c>
      <c r="K451" s="7">
        <f t="shared" si="14"/>
        <v>4.59</v>
      </c>
      <c r="L451" s="7">
        <f t="shared" si="15"/>
        <v>1.84</v>
      </c>
    </row>
    <row r="452" spans="1:12" x14ac:dyDescent="0.3">
      <c r="A452" s="2">
        <v>451</v>
      </c>
      <c r="B452" s="38">
        <v>45704</v>
      </c>
      <c r="C452" s="3" t="s">
        <v>11</v>
      </c>
      <c r="D452" s="4" t="s">
        <v>481</v>
      </c>
      <c r="E452" s="2" t="s">
        <v>44</v>
      </c>
      <c r="F452" s="5">
        <v>4</v>
      </c>
      <c r="G452" s="6" t="s">
        <v>14</v>
      </c>
      <c r="H452" s="2" t="s">
        <v>15</v>
      </c>
      <c r="I452" s="2">
        <v>25.5</v>
      </c>
      <c r="J452" s="2">
        <v>12</v>
      </c>
      <c r="K452" s="2">
        <f t="shared" si="14"/>
        <v>3.06</v>
      </c>
      <c r="L452" s="2">
        <f t="shared" si="15"/>
        <v>1.22</v>
      </c>
    </row>
    <row r="453" spans="1:12" x14ac:dyDescent="0.3">
      <c r="A453" s="7">
        <v>452</v>
      </c>
      <c r="B453" s="39">
        <v>45806</v>
      </c>
      <c r="C453" s="8" t="s">
        <v>16</v>
      </c>
      <c r="D453" s="9" t="s">
        <v>482</v>
      </c>
      <c r="E453" s="7" t="s">
        <v>22</v>
      </c>
      <c r="F453" s="16">
        <v>3</v>
      </c>
      <c r="G453" s="17" t="s">
        <v>34</v>
      </c>
      <c r="H453" s="7" t="s">
        <v>48</v>
      </c>
      <c r="I453" s="7">
        <v>17.600000000000001</v>
      </c>
      <c r="J453" s="7">
        <v>14</v>
      </c>
      <c r="K453" s="7">
        <f t="shared" si="14"/>
        <v>2.46</v>
      </c>
      <c r="L453" s="7">
        <f t="shared" si="15"/>
        <v>0.98</v>
      </c>
    </row>
    <row r="454" spans="1:12" x14ac:dyDescent="0.3">
      <c r="A454" s="2">
        <v>453</v>
      </c>
      <c r="B454" s="38">
        <v>45768</v>
      </c>
      <c r="C454" s="12" t="s">
        <v>20</v>
      </c>
      <c r="D454" s="4" t="s">
        <v>483</v>
      </c>
      <c r="E454" s="2" t="s">
        <v>36</v>
      </c>
      <c r="F454" s="5">
        <v>4</v>
      </c>
      <c r="G454" s="6" t="s">
        <v>14</v>
      </c>
      <c r="H454" s="2" t="s">
        <v>27</v>
      </c>
      <c r="I454" s="2">
        <v>45.1</v>
      </c>
      <c r="J454" s="2">
        <v>14</v>
      </c>
      <c r="K454" s="2">
        <f t="shared" si="14"/>
        <v>6.31</v>
      </c>
      <c r="L454" s="2">
        <f t="shared" si="15"/>
        <v>2.52</v>
      </c>
    </row>
    <row r="455" spans="1:12" x14ac:dyDescent="0.3">
      <c r="A455" s="7">
        <v>454</v>
      </c>
      <c r="B455" s="39">
        <v>45696</v>
      </c>
      <c r="C455" s="12" t="s">
        <v>20</v>
      </c>
      <c r="D455" s="9" t="s">
        <v>484</v>
      </c>
      <c r="E455" s="7" t="s">
        <v>29</v>
      </c>
      <c r="F455" s="10">
        <v>5</v>
      </c>
      <c r="G455" s="11" t="s">
        <v>18</v>
      </c>
      <c r="H455" s="7" t="s">
        <v>27</v>
      </c>
      <c r="I455" s="7">
        <v>49.1</v>
      </c>
      <c r="J455" s="7">
        <v>13</v>
      </c>
      <c r="K455" s="7">
        <f t="shared" si="14"/>
        <v>6.38</v>
      </c>
      <c r="L455" s="7">
        <f t="shared" si="15"/>
        <v>2.5499999999999998</v>
      </c>
    </row>
    <row r="456" spans="1:12" x14ac:dyDescent="0.3">
      <c r="A456" s="2">
        <v>455</v>
      </c>
      <c r="B456" s="38">
        <v>45658</v>
      </c>
      <c r="C456" s="18" t="s">
        <v>40</v>
      </c>
      <c r="D456" s="4" t="s">
        <v>485</v>
      </c>
      <c r="E456" s="2" t="s">
        <v>33</v>
      </c>
      <c r="F456" s="16">
        <v>3</v>
      </c>
      <c r="G456" s="17" t="s">
        <v>34</v>
      </c>
      <c r="H456" s="2" t="s">
        <v>24</v>
      </c>
      <c r="I456" s="2">
        <v>14</v>
      </c>
      <c r="J456" s="2">
        <v>18</v>
      </c>
      <c r="K456" s="2">
        <f t="shared" si="14"/>
        <v>2.52</v>
      </c>
      <c r="L456" s="2">
        <f t="shared" si="15"/>
        <v>1.01</v>
      </c>
    </row>
    <row r="457" spans="1:12" x14ac:dyDescent="0.3">
      <c r="A457" s="7">
        <v>456</v>
      </c>
      <c r="B457" s="39">
        <v>45822</v>
      </c>
      <c r="C457" s="3" t="s">
        <v>11</v>
      </c>
      <c r="D457" s="9" t="s">
        <v>486</v>
      </c>
      <c r="E457" s="7" t="s">
        <v>36</v>
      </c>
      <c r="F457" s="16">
        <v>3</v>
      </c>
      <c r="G457" s="17" t="s">
        <v>34</v>
      </c>
      <c r="H457" s="7" t="s">
        <v>19</v>
      </c>
      <c r="I457" s="7">
        <v>12.2</v>
      </c>
      <c r="J457" s="7">
        <v>14</v>
      </c>
      <c r="K457" s="7">
        <f t="shared" si="14"/>
        <v>1.71</v>
      </c>
      <c r="L457" s="7">
        <f t="shared" si="15"/>
        <v>0.68</v>
      </c>
    </row>
    <row r="458" spans="1:12" x14ac:dyDescent="0.3">
      <c r="A458" s="2">
        <v>457</v>
      </c>
      <c r="B458" s="38">
        <v>45667</v>
      </c>
      <c r="C458" s="18" t="s">
        <v>40</v>
      </c>
      <c r="D458" s="4" t="s">
        <v>487</v>
      </c>
      <c r="E458" s="2" t="s">
        <v>13</v>
      </c>
      <c r="F458" s="19">
        <v>1</v>
      </c>
      <c r="G458" s="14" t="s">
        <v>23</v>
      </c>
      <c r="H458" s="2" t="s">
        <v>15</v>
      </c>
      <c r="I458" s="2">
        <v>1.8</v>
      </c>
      <c r="J458" s="2">
        <v>21</v>
      </c>
      <c r="K458" s="2">
        <f t="shared" si="14"/>
        <v>0.38</v>
      </c>
      <c r="L458" s="2">
        <f t="shared" si="15"/>
        <v>0.15</v>
      </c>
    </row>
    <row r="459" spans="1:12" x14ac:dyDescent="0.3">
      <c r="A459" s="7">
        <v>458</v>
      </c>
      <c r="B459" s="39">
        <v>45786</v>
      </c>
      <c r="C459" s="8" t="s">
        <v>16</v>
      </c>
      <c r="D459" s="9" t="s">
        <v>488</v>
      </c>
      <c r="E459" s="7" t="s">
        <v>44</v>
      </c>
      <c r="F459" s="10">
        <v>5</v>
      </c>
      <c r="G459" s="11" t="s">
        <v>18</v>
      </c>
      <c r="H459" s="7" t="s">
        <v>15</v>
      </c>
      <c r="I459" s="7">
        <v>107.8</v>
      </c>
      <c r="J459" s="7">
        <v>16</v>
      </c>
      <c r="K459" s="7">
        <f t="shared" si="14"/>
        <v>17.25</v>
      </c>
      <c r="L459" s="7">
        <f t="shared" si="15"/>
        <v>6.9</v>
      </c>
    </row>
    <row r="460" spans="1:12" x14ac:dyDescent="0.3">
      <c r="A460" s="2">
        <v>459</v>
      </c>
      <c r="B460" s="38">
        <v>45759</v>
      </c>
      <c r="C460" s="12" t="s">
        <v>20</v>
      </c>
      <c r="D460" s="4" t="s">
        <v>489</v>
      </c>
      <c r="E460" s="2" t="s">
        <v>36</v>
      </c>
      <c r="F460" s="5">
        <v>4</v>
      </c>
      <c r="G460" s="6" t="s">
        <v>14</v>
      </c>
      <c r="H460" s="2" t="s">
        <v>27</v>
      </c>
      <c r="I460" s="2">
        <v>40</v>
      </c>
      <c r="J460" s="2">
        <v>13</v>
      </c>
      <c r="K460" s="2">
        <f t="shared" si="14"/>
        <v>5.2</v>
      </c>
      <c r="L460" s="2">
        <f t="shared" si="15"/>
        <v>2.08</v>
      </c>
    </row>
    <row r="461" spans="1:12" x14ac:dyDescent="0.3">
      <c r="A461" s="7">
        <v>460</v>
      </c>
      <c r="B461" s="39">
        <v>45772</v>
      </c>
      <c r="C461" s="8" t="s">
        <v>16</v>
      </c>
      <c r="D461" s="9" t="s">
        <v>490</v>
      </c>
      <c r="E461" s="7" t="s">
        <v>46</v>
      </c>
      <c r="F461" s="10">
        <v>5</v>
      </c>
      <c r="G461" s="11" t="s">
        <v>18</v>
      </c>
      <c r="H461" s="7" t="s">
        <v>15</v>
      </c>
      <c r="I461" s="7">
        <v>53.9</v>
      </c>
      <c r="J461" s="7">
        <v>16</v>
      </c>
      <c r="K461" s="7">
        <f t="shared" si="14"/>
        <v>8.6199999999999992</v>
      </c>
      <c r="L461" s="7">
        <f t="shared" si="15"/>
        <v>3.45</v>
      </c>
    </row>
    <row r="462" spans="1:12" x14ac:dyDescent="0.3">
      <c r="A462" s="2">
        <v>461</v>
      </c>
      <c r="B462" s="38">
        <v>45676</v>
      </c>
      <c r="C462" s="8" t="s">
        <v>16</v>
      </c>
      <c r="D462" s="4" t="s">
        <v>491</v>
      </c>
      <c r="E462" s="2" t="s">
        <v>13</v>
      </c>
      <c r="F462" s="5">
        <v>4</v>
      </c>
      <c r="G462" s="6" t="s">
        <v>14</v>
      </c>
      <c r="H462" s="2" t="s">
        <v>48</v>
      </c>
      <c r="I462" s="2">
        <v>47.3</v>
      </c>
      <c r="J462" s="2">
        <v>16</v>
      </c>
      <c r="K462" s="2">
        <f t="shared" si="14"/>
        <v>7.57</v>
      </c>
      <c r="L462" s="2">
        <f t="shared" si="15"/>
        <v>3.03</v>
      </c>
    </row>
    <row r="463" spans="1:12" x14ac:dyDescent="0.3">
      <c r="A463" s="7">
        <v>462</v>
      </c>
      <c r="B463" s="39">
        <v>45700</v>
      </c>
      <c r="C463" s="12" t="s">
        <v>20</v>
      </c>
      <c r="D463" s="9" t="s">
        <v>492</v>
      </c>
      <c r="E463" s="7" t="s">
        <v>13</v>
      </c>
      <c r="F463" s="19">
        <v>1</v>
      </c>
      <c r="G463" s="14" t="s">
        <v>23</v>
      </c>
      <c r="H463" s="7" t="s">
        <v>19</v>
      </c>
      <c r="I463" s="7">
        <v>1.1000000000000001</v>
      </c>
      <c r="J463" s="7">
        <v>15</v>
      </c>
      <c r="K463" s="7">
        <f t="shared" si="14"/>
        <v>0.17</v>
      </c>
      <c r="L463" s="7">
        <f t="shared" si="15"/>
        <v>7.0000000000000007E-2</v>
      </c>
    </row>
    <row r="464" spans="1:12" x14ac:dyDescent="0.3">
      <c r="A464" s="2">
        <v>463</v>
      </c>
      <c r="B464" s="38">
        <v>45808</v>
      </c>
      <c r="C464" s="18" t="s">
        <v>40</v>
      </c>
      <c r="D464" s="4" t="s">
        <v>493</v>
      </c>
      <c r="E464" s="2" t="s">
        <v>36</v>
      </c>
      <c r="F464" s="10">
        <v>5</v>
      </c>
      <c r="G464" s="11" t="s">
        <v>18</v>
      </c>
      <c r="H464" s="2" t="s">
        <v>24</v>
      </c>
      <c r="I464" s="2">
        <v>93.2</v>
      </c>
      <c r="J464" s="2">
        <v>22</v>
      </c>
      <c r="K464" s="2">
        <f t="shared" si="14"/>
        <v>20.5</v>
      </c>
      <c r="L464" s="2">
        <f t="shared" si="15"/>
        <v>8.1999999999999993</v>
      </c>
    </row>
    <row r="465" spans="1:12" x14ac:dyDescent="0.3">
      <c r="A465" s="7">
        <v>464</v>
      </c>
      <c r="B465" s="39">
        <v>45717</v>
      </c>
      <c r="C465" s="8" t="s">
        <v>16</v>
      </c>
      <c r="D465" s="9" t="s">
        <v>494</v>
      </c>
      <c r="E465" s="7" t="s">
        <v>13</v>
      </c>
      <c r="F465" s="10">
        <v>5</v>
      </c>
      <c r="G465" s="11" t="s">
        <v>18</v>
      </c>
      <c r="H465" s="7" t="s">
        <v>24</v>
      </c>
      <c r="I465" s="7">
        <v>113.7</v>
      </c>
      <c r="J465" s="7">
        <v>10</v>
      </c>
      <c r="K465" s="7">
        <f t="shared" si="14"/>
        <v>11.37</v>
      </c>
      <c r="L465" s="7">
        <f t="shared" si="15"/>
        <v>4.55</v>
      </c>
    </row>
    <row r="466" spans="1:12" x14ac:dyDescent="0.3">
      <c r="A466" s="2">
        <v>465</v>
      </c>
      <c r="B466" s="38">
        <v>45745</v>
      </c>
      <c r="C466" s="3" t="s">
        <v>11</v>
      </c>
      <c r="D466" s="4" t="s">
        <v>495</v>
      </c>
      <c r="E466" s="2" t="s">
        <v>46</v>
      </c>
      <c r="F466" s="5">
        <v>4</v>
      </c>
      <c r="G466" s="6" t="s">
        <v>14</v>
      </c>
      <c r="H466" s="2" t="s">
        <v>27</v>
      </c>
      <c r="I466" s="2">
        <v>31.1</v>
      </c>
      <c r="J466" s="2">
        <v>14</v>
      </c>
      <c r="K466" s="2">
        <f t="shared" si="14"/>
        <v>4.3499999999999996</v>
      </c>
      <c r="L466" s="2">
        <f t="shared" si="15"/>
        <v>1.74</v>
      </c>
    </row>
    <row r="467" spans="1:12" x14ac:dyDescent="0.3">
      <c r="A467" s="7">
        <v>466</v>
      </c>
      <c r="B467" s="39">
        <v>45769</v>
      </c>
      <c r="C467" s="15" t="s">
        <v>31</v>
      </c>
      <c r="D467" s="9" t="s">
        <v>496</v>
      </c>
      <c r="E467" s="7" t="s">
        <v>13</v>
      </c>
      <c r="F467" s="10">
        <v>5</v>
      </c>
      <c r="G467" s="11" t="s">
        <v>18</v>
      </c>
      <c r="H467" s="7" t="s">
        <v>27</v>
      </c>
      <c r="I467" s="7">
        <v>96.3</v>
      </c>
      <c r="J467" s="7">
        <v>24</v>
      </c>
      <c r="K467" s="7">
        <f t="shared" si="14"/>
        <v>23.11</v>
      </c>
      <c r="L467" s="7">
        <f t="shared" si="15"/>
        <v>9.24</v>
      </c>
    </row>
    <row r="468" spans="1:12" x14ac:dyDescent="0.3">
      <c r="A468" s="2">
        <v>467</v>
      </c>
      <c r="B468" s="38">
        <v>45691</v>
      </c>
      <c r="C468" s="15" t="s">
        <v>31</v>
      </c>
      <c r="D468" s="4" t="s">
        <v>497</v>
      </c>
      <c r="E468" s="2" t="s">
        <v>29</v>
      </c>
      <c r="F468" s="5">
        <v>4</v>
      </c>
      <c r="G468" s="6" t="s">
        <v>14</v>
      </c>
      <c r="H468" s="2" t="s">
        <v>24</v>
      </c>
      <c r="I468" s="2">
        <v>49.2</v>
      </c>
      <c r="J468" s="2">
        <v>21</v>
      </c>
      <c r="K468" s="2">
        <f t="shared" si="14"/>
        <v>10.33</v>
      </c>
      <c r="L468" s="2">
        <f t="shared" si="15"/>
        <v>4.13</v>
      </c>
    </row>
    <row r="469" spans="1:12" x14ac:dyDescent="0.3">
      <c r="A469" s="7">
        <v>468</v>
      </c>
      <c r="B469" s="39">
        <v>45780</v>
      </c>
      <c r="C469" s="12" t="s">
        <v>20</v>
      </c>
      <c r="D469" s="9" t="s">
        <v>498</v>
      </c>
      <c r="E469" s="7" t="s">
        <v>44</v>
      </c>
      <c r="F469" s="16">
        <v>3</v>
      </c>
      <c r="G469" s="17" t="s">
        <v>34</v>
      </c>
      <c r="H469" s="7" t="s">
        <v>24</v>
      </c>
      <c r="I469" s="7">
        <v>10</v>
      </c>
      <c r="J469" s="7">
        <v>12</v>
      </c>
      <c r="K469" s="7">
        <f t="shared" si="14"/>
        <v>1.2</v>
      </c>
      <c r="L469" s="7">
        <f t="shared" si="15"/>
        <v>0.48</v>
      </c>
    </row>
    <row r="470" spans="1:12" x14ac:dyDescent="0.3">
      <c r="A470" s="2">
        <v>469</v>
      </c>
      <c r="B470" s="38">
        <v>45814</v>
      </c>
      <c r="C470" s="15" t="s">
        <v>31</v>
      </c>
      <c r="D470" s="4" t="s">
        <v>499</v>
      </c>
      <c r="E470" s="2" t="s">
        <v>33</v>
      </c>
      <c r="F470" s="16">
        <v>3</v>
      </c>
      <c r="G470" s="17" t="s">
        <v>34</v>
      </c>
      <c r="H470" s="2" t="s">
        <v>27</v>
      </c>
      <c r="I470" s="2">
        <v>19.899999999999999</v>
      </c>
      <c r="J470" s="2">
        <v>20</v>
      </c>
      <c r="K470" s="2">
        <f t="shared" si="14"/>
        <v>3.98</v>
      </c>
      <c r="L470" s="2">
        <f t="shared" si="15"/>
        <v>1.59</v>
      </c>
    </row>
    <row r="471" spans="1:12" x14ac:dyDescent="0.3">
      <c r="A471" s="7">
        <v>470</v>
      </c>
      <c r="B471" s="39">
        <v>45681</v>
      </c>
      <c r="C471" s="18" t="s">
        <v>40</v>
      </c>
      <c r="D471" s="9" t="s">
        <v>500</v>
      </c>
      <c r="E471" s="7" t="s">
        <v>22</v>
      </c>
      <c r="F471" s="5">
        <v>4</v>
      </c>
      <c r="G471" s="6" t="s">
        <v>14</v>
      </c>
      <c r="H471" s="7" t="s">
        <v>15</v>
      </c>
      <c r="I471" s="7">
        <v>26.7</v>
      </c>
      <c r="J471" s="7">
        <v>14</v>
      </c>
      <c r="K471" s="7">
        <f t="shared" si="14"/>
        <v>3.74</v>
      </c>
      <c r="L471" s="7">
        <f t="shared" si="15"/>
        <v>1.5</v>
      </c>
    </row>
    <row r="472" spans="1:12" x14ac:dyDescent="0.3">
      <c r="A472" s="2">
        <v>471</v>
      </c>
      <c r="B472" s="38">
        <v>45752</v>
      </c>
      <c r="C472" s="8" t="s">
        <v>16</v>
      </c>
      <c r="D472" s="4" t="s">
        <v>501</v>
      </c>
      <c r="E472" s="2" t="s">
        <v>33</v>
      </c>
      <c r="F472" s="10">
        <v>5</v>
      </c>
      <c r="G472" s="11" t="s">
        <v>18</v>
      </c>
      <c r="H472" s="2" t="s">
        <v>19</v>
      </c>
      <c r="I472" s="2">
        <v>121</v>
      </c>
      <c r="J472" s="2">
        <v>10</v>
      </c>
      <c r="K472" s="2">
        <f t="shared" si="14"/>
        <v>12.1</v>
      </c>
      <c r="L472" s="2">
        <f t="shared" si="15"/>
        <v>4.84</v>
      </c>
    </row>
    <row r="473" spans="1:12" x14ac:dyDescent="0.3">
      <c r="A473" s="7">
        <v>472</v>
      </c>
      <c r="B473" s="39">
        <v>45786</v>
      </c>
      <c r="C473" s="15" t="s">
        <v>31</v>
      </c>
      <c r="D473" s="9" t="s">
        <v>502</v>
      </c>
      <c r="E473" s="7" t="s">
        <v>44</v>
      </c>
      <c r="F473" s="16">
        <v>3</v>
      </c>
      <c r="G473" s="17" t="s">
        <v>34</v>
      </c>
      <c r="H473" s="7" t="s">
        <v>19</v>
      </c>
      <c r="I473" s="7">
        <v>12.5</v>
      </c>
      <c r="J473" s="7">
        <v>27</v>
      </c>
      <c r="K473" s="7">
        <f t="shared" si="14"/>
        <v>3.38</v>
      </c>
      <c r="L473" s="7">
        <f t="shared" si="15"/>
        <v>1.35</v>
      </c>
    </row>
    <row r="474" spans="1:12" x14ac:dyDescent="0.3">
      <c r="A474" s="2">
        <v>473</v>
      </c>
      <c r="B474" s="38">
        <v>45698</v>
      </c>
      <c r="C474" s="8" t="s">
        <v>16</v>
      </c>
      <c r="D474" s="4" t="s">
        <v>503</v>
      </c>
      <c r="E474" s="2" t="s">
        <v>46</v>
      </c>
      <c r="F474" s="5">
        <v>4</v>
      </c>
      <c r="G474" s="6" t="s">
        <v>14</v>
      </c>
      <c r="H474" s="2" t="s">
        <v>48</v>
      </c>
      <c r="I474" s="2">
        <v>34.4</v>
      </c>
      <c r="J474" s="2">
        <v>13</v>
      </c>
      <c r="K474" s="2">
        <f t="shared" si="14"/>
        <v>4.47</v>
      </c>
      <c r="L474" s="2">
        <f t="shared" si="15"/>
        <v>1.79</v>
      </c>
    </row>
    <row r="475" spans="1:12" x14ac:dyDescent="0.3">
      <c r="A475" s="7">
        <v>474</v>
      </c>
      <c r="B475" s="39">
        <v>45717</v>
      </c>
      <c r="C475" s="12" t="s">
        <v>20</v>
      </c>
      <c r="D475" s="9" t="s">
        <v>504</v>
      </c>
      <c r="E475" s="7" t="s">
        <v>44</v>
      </c>
      <c r="F475" s="5">
        <v>4</v>
      </c>
      <c r="G475" s="6" t="s">
        <v>14</v>
      </c>
      <c r="H475" s="7" t="s">
        <v>15</v>
      </c>
      <c r="I475" s="7">
        <v>50.9</v>
      </c>
      <c r="J475" s="7">
        <v>13</v>
      </c>
      <c r="K475" s="7">
        <f t="shared" si="14"/>
        <v>6.62</v>
      </c>
      <c r="L475" s="7">
        <f t="shared" si="15"/>
        <v>2.65</v>
      </c>
    </row>
    <row r="476" spans="1:12" x14ac:dyDescent="0.3">
      <c r="A476" s="2">
        <v>475</v>
      </c>
      <c r="B476" s="38">
        <v>45804</v>
      </c>
      <c r="C476" s="15" t="s">
        <v>31</v>
      </c>
      <c r="D476" s="4" t="s">
        <v>505</v>
      </c>
      <c r="E476" s="2" t="s">
        <v>26</v>
      </c>
      <c r="F476" s="13">
        <v>2</v>
      </c>
      <c r="G476" s="14" t="s">
        <v>23</v>
      </c>
      <c r="H476" s="2" t="s">
        <v>19</v>
      </c>
      <c r="I476" s="2">
        <v>4.7</v>
      </c>
      <c r="J476" s="2">
        <v>25</v>
      </c>
      <c r="K476" s="2">
        <f t="shared" si="14"/>
        <v>1.18</v>
      </c>
      <c r="L476" s="2">
        <f t="shared" si="15"/>
        <v>0.47</v>
      </c>
    </row>
    <row r="477" spans="1:12" x14ac:dyDescent="0.3">
      <c r="A477" s="7">
        <v>476</v>
      </c>
      <c r="B477" s="39">
        <v>45782</v>
      </c>
      <c r="C477" s="12" t="s">
        <v>20</v>
      </c>
      <c r="D477" s="9" t="s">
        <v>506</v>
      </c>
      <c r="E477" s="7" t="s">
        <v>36</v>
      </c>
      <c r="F477" s="10">
        <v>5</v>
      </c>
      <c r="G477" s="11" t="s">
        <v>18</v>
      </c>
      <c r="H477" s="7" t="s">
        <v>27</v>
      </c>
      <c r="I477" s="7">
        <v>137.80000000000001</v>
      </c>
      <c r="J477" s="7">
        <v>12</v>
      </c>
      <c r="K477" s="7">
        <f t="shared" si="14"/>
        <v>16.54</v>
      </c>
      <c r="L477" s="7">
        <f t="shared" si="15"/>
        <v>6.62</v>
      </c>
    </row>
    <row r="478" spans="1:12" x14ac:dyDescent="0.3">
      <c r="A478" s="2">
        <v>477</v>
      </c>
      <c r="B478" s="38">
        <v>45711</v>
      </c>
      <c r="C478" s="15" t="s">
        <v>31</v>
      </c>
      <c r="D478" s="4" t="s">
        <v>507</v>
      </c>
      <c r="E478" s="2" t="s">
        <v>44</v>
      </c>
      <c r="F478" s="16">
        <v>3</v>
      </c>
      <c r="G478" s="17" t="s">
        <v>34</v>
      </c>
      <c r="H478" s="2" t="s">
        <v>27</v>
      </c>
      <c r="I478" s="2">
        <v>15.1</v>
      </c>
      <c r="J478" s="2">
        <v>23</v>
      </c>
      <c r="K478" s="2">
        <f t="shared" si="14"/>
        <v>3.47</v>
      </c>
      <c r="L478" s="2">
        <f t="shared" si="15"/>
        <v>1.39</v>
      </c>
    </row>
    <row r="479" spans="1:12" x14ac:dyDescent="0.3">
      <c r="A479" s="7">
        <v>478</v>
      </c>
      <c r="B479" s="39">
        <v>45683</v>
      </c>
      <c r="C479" s="15" t="s">
        <v>31</v>
      </c>
      <c r="D479" s="9" t="s">
        <v>508</v>
      </c>
      <c r="E479" s="7" t="s">
        <v>29</v>
      </c>
      <c r="F479" s="5">
        <v>4</v>
      </c>
      <c r="G479" s="6" t="s">
        <v>14</v>
      </c>
      <c r="H479" s="7" t="s">
        <v>19</v>
      </c>
      <c r="I479" s="7">
        <v>40.1</v>
      </c>
      <c r="J479" s="7">
        <v>18</v>
      </c>
      <c r="K479" s="7">
        <f t="shared" si="14"/>
        <v>7.22</v>
      </c>
      <c r="L479" s="7">
        <f t="shared" si="15"/>
        <v>2.89</v>
      </c>
    </row>
    <row r="480" spans="1:12" x14ac:dyDescent="0.3">
      <c r="A480" s="2">
        <v>479</v>
      </c>
      <c r="B480" s="38">
        <v>45769</v>
      </c>
      <c r="C480" s="3" t="s">
        <v>11</v>
      </c>
      <c r="D480" s="4" t="s">
        <v>509</v>
      </c>
      <c r="E480" s="2" t="s">
        <v>36</v>
      </c>
      <c r="F480" s="10">
        <v>5</v>
      </c>
      <c r="G480" s="11" t="s">
        <v>18</v>
      </c>
      <c r="H480" s="2" t="s">
        <v>19</v>
      </c>
      <c r="I480" s="2">
        <v>140.19999999999999</v>
      </c>
      <c r="J480" s="2">
        <v>11</v>
      </c>
      <c r="K480" s="2">
        <f t="shared" si="14"/>
        <v>15.42</v>
      </c>
      <c r="L480" s="2">
        <f t="shared" si="15"/>
        <v>6.17</v>
      </c>
    </row>
    <row r="481" spans="1:12" x14ac:dyDescent="0.3">
      <c r="A481" s="7">
        <v>480</v>
      </c>
      <c r="B481" s="39">
        <v>45814</v>
      </c>
      <c r="C481" s="12" t="s">
        <v>20</v>
      </c>
      <c r="D481" s="9" t="s">
        <v>510</v>
      </c>
      <c r="E481" s="7" t="s">
        <v>22</v>
      </c>
      <c r="F481" s="10">
        <v>5</v>
      </c>
      <c r="G481" s="11" t="s">
        <v>18</v>
      </c>
      <c r="H481" s="7" t="s">
        <v>15</v>
      </c>
      <c r="I481" s="7">
        <v>74.400000000000006</v>
      </c>
      <c r="J481" s="7">
        <v>20</v>
      </c>
      <c r="K481" s="7">
        <f t="shared" si="14"/>
        <v>14.88</v>
      </c>
      <c r="L481" s="7">
        <f t="shared" si="15"/>
        <v>5.95</v>
      </c>
    </row>
    <row r="482" spans="1:12" x14ac:dyDescent="0.3">
      <c r="A482" s="2">
        <v>481</v>
      </c>
      <c r="B482" s="38">
        <v>45709</v>
      </c>
      <c r="C482" s="12" t="s">
        <v>20</v>
      </c>
      <c r="D482" s="4" t="s">
        <v>511</v>
      </c>
      <c r="E482" s="2" t="s">
        <v>13</v>
      </c>
      <c r="F482" s="5">
        <v>4</v>
      </c>
      <c r="G482" s="6" t="s">
        <v>14</v>
      </c>
      <c r="H482" s="2" t="s">
        <v>15</v>
      </c>
      <c r="I482" s="2">
        <v>42.6</v>
      </c>
      <c r="J482" s="2">
        <v>16</v>
      </c>
      <c r="K482" s="2">
        <f t="shared" si="14"/>
        <v>6.82</v>
      </c>
      <c r="L482" s="2">
        <f t="shared" ref="L482:L513" si="16">ROUND(K482*0.4,2)</f>
        <v>2.73</v>
      </c>
    </row>
    <row r="483" spans="1:12" x14ac:dyDescent="0.3">
      <c r="A483" s="7">
        <v>482</v>
      </c>
      <c r="B483" s="39">
        <v>45702</v>
      </c>
      <c r="C483" s="12" t="s">
        <v>20</v>
      </c>
      <c r="D483" s="9" t="s">
        <v>512</v>
      </c>
      <c r="E483" s="7" t="s">
        <v>44</v>
      </c>
      <c r="F483" s="5">
        <v>4</v>
      </c>
      <c r="G483" s="6" t="s">
        <v>14</v>
      </c>
      <c r="H483" s="7" t="s">
        <v>48</v>
      </c>
      <c r="I483" s="7">
        <v>58.9</v>
      </c>
      <c r="J483" s="7">
        <v>15</v>
      </c>
      <c r="K483" s="7">
        <f t="shared" si="14"/>
        <v>8.84</v>
      </c>
      <c r="L483" s="7">
        <f t="shared" si="16"/>
        <v>3.54</v>
      </c>
    </row>
    <row r="484" spans="1:12" x14ac:dyDescent="0.3">
      <c r="A484" s="2">
        <v>483</v>
      </c>
      <c r="B484" s="38">
        <v>45692</v>
      </c>
      <c r="C484" s="12" t="s">
        <v>20</v>
      </c>
      <c r="D484" s="4" t="s">
        <v>513</v>
      </c>
      <c r="E484" s="2" t="s">
        <v>44</v>
      </c>
      <c r="F484" s="16">
        <v>3</v>
      </c>
      <c r="G484" s="17" t="s">
        <v>34</v>
      </c>
      <c r="H484" s="2" t="s">
        <v>24</v>
      </c>
      <c r="I484" s="2">
        <v>8.4</v>
      </c>
      <c r="J484" s="2">
        <v>20</v>
      </c>
      <c r="K484" s="2">
        <f t="shared" si="14"/>
        <v>1.68</v>
      </c>
      <c r="L484" s="2">
        <f t="shared" si="16"/>
        <v>0.67</v>
      </c>
    </row>
    <row r="485" spans="1:12" x14ac:dyDescent="0.3">
      <c r="A485" s="7">
        <v>484</v>
      </c>
      <c r="B485" s="39">
        <v>45779</v>
      </c>
      <c r="C485" s="15" t="s">
        <v>31</v>
      </c>
      <c r="D485" s="9" t="s">
        <v>514</v>
      </c>
      <c r="E485" s="7" t="s">
        <v>26</v>
      </c>
      <c r="F485" s="10">
        <v>5</v>
      </c>
      <c r="G485" s="11" t="s">
        <v>18</v>
      </c>
      <c r="H485" s="7" t="s">
        <v>19</v>
      </c>
      <c r="I485" s="7">
        <v>119.7</v>
      </c>
      <c r="J485" s="7">
        <v>24</v>
      </c>
      <c r="K485" s="7">
        <f t="shared" si="14"/>
        <v>28.73</v>
      </c>
      <c r="L485" s="7">
        <f t="shared" si="16"/>
        <v>11.49</v>
      </c>
    </row>
    <row r="486" spans="1:12" x14ac:dyDescent="0.3">
      <c r="A486" s="2">
        <v>485</v>
      </c>
      <c r="B486" s="38">
        <v>45721</v>
      </c>
      <c r="C486" s="15" t="s">
        <v>31</v>
      </c>
      <c r="D486" s="4" t="s">
        <v>515</v>
      </c>
      <c r="E486" s="2" t="s">
        <v>36</v>
      </c>
      <c r="F486" s="16">
        <v>3</v>
      </c>
      <c r="G486" s="17" t="s">
        <v>34</v>
      </c>
      <c r="H486" s="2" t="s">
        <v>48</v>
      </c>
      <c r="I486" s="2">
        <v>24.7</v>
      </c>
      <c r="J486" s="2">
        <v>24</v>
      </c>
      <c r="K486" s="2">
        <f t="shared" si="14"/>
        <v>5.93</v>
      </c>
      <c r="L486" s="2">
        <f t="shared" si="16"/>
        <v>2.37</v>
      </c>
    </row>
    <row r="487" spans="1:12" x14ac:dyDescent="0.3">
      <c r="A487" s="7">
        <v>486</v>
      </c>
      <c r="B487" s="39">
        <v>45702</v>
      </c>
      <c r="C487" s="12" t="s">
        <v>20</v>
      </c>
      <c r="D487" s="9" t="s">
        <v>516</v>
      </c>
      <c r="E487" s="7" t="s">
        <v>13</v>
      </c>
      <c r="F487" s="10">
        <v>5</v>
      </c>
      <c r="G487" s="11" t="s">
        <v>18</v>
      </c>
      <c r="H487" s="7" t="s">
        <v>27</v>
      </c>
      <c r="I487" s="7">
        <v>114.7</v>
      </c>
      <c r="J487" s="7">
        <v>13</v>
      </c>
      <c r="K487" s="7">
        <f t="shared" si="14"/>
        <v>14.91</v>
      </c>
      <c r="L487" s="7">
        <f t="shared" si="16"/>
        <v>5.96</v>
      </c>
    </row>
    <row r="488" spans="1:12" x14ac:dyDescent="0.3">
      <c r="A488" s="2">
        <v>487</v>
      </c>
      <c r="B488" s="38">
        <v>45833</v>
      </c>
      <c r="C488" s="15" t="s">
        <v>31</v>
      </c>
      <c r="D488" s="4" t="s">
        <v>517</v>
      </c>
      <c r="E488" s="2" t="s">
        <v>13</v>
      </c>
      <c r="F488" s="10">
        <v>5</v>
      </c>
      <c r="G488" s="11" t="s">
        <v>18</v>
      </c>
      <c r="H488" s="2" t="s">
        <v>48</v>
      </c>
      <c r="I488" s="2">
        <v>83.4</v>
      </c>
      <c r="J488" s="2">
        <v>23</v>
      </c>
      <c r="K488" s="2">
        <f t="shared" si="14"/>
        <v>19.18</v>
      </c>
      <c r="L488" s="2">
        <f t="shared" si="16"/>
        <v>7.67</v>
      </c>
    </row>
    <row r="489" spans="1:12" x14ac:dyDescent="0.3">
      <c r="A489" s="7">
        <v>488</v>
      </c>
      <c r="B489" s="39">
        <v>45723</v>
      </c>
      <c r="C489" s="18" t="s">
        <v>40</v>
      </c>
      <c r="D489" s="9" t="s">
        <v>518</v>
      </c>
      <c r="E489" s="7" t="s">
        <v>13</v>
      </c>
      <c r="F489" s="16">
        <v>3</v>
      </c>
      <c r="G489" s="17" t="s">
        <v>34</v>
      </c>
      <c r="H489" s="7" t="s">
        <v>19</v>
      </c>
      <c r="I489" s="7">
        <v>16.600000000000001</v>
      </c>
      <c r="J489" s="7">
        <v>22</v>
      </c>
      <c r="K489" s="7">
        <f t="shared" si="14"/>
        <v>3.65</v>
      </c>
      <c r="L489" s="7">
        <f t="shared" si="16"/>
        <v>1.46</v>
      </c>
    </row>
    <row r="490" spans="1:12" x14ac:dyDescent="0.3">
      <c r="A490" s="2">
        <v>489</v>
      </c>
      <c r="B490" s="38">
        <v>45700</v>
      </c>
      <c r="C490" s="18" t="s">
        <v>40</v>
      </c>
      <c r="D490" s="4" t="s">
        <v>519</v>
      </c>
      <c r="E490" s="2" t="s">
        <v>46</v>
      </c>
      <c r="F490" s="13">
        <v>2</v>
      </c>
      <c r="G490" s="14" t="s">
        <v>23</v>
      </c>
      <c r="H490" s="2" t="s">
        <v>48</v>
      </c>
      <c r="I490" s="2">
        <v>3.4</v>
      </c>
      <c r="J490" s="2">
        <v>22</v>
      </c>
      <c r="K490" s="2">
        <f t="shared" si="14"/>
        <v>0.75</v>
      </c>
      <c r="L490" s="2">
        <f t="shared" si="16"/>
        <v>0.3</v>
      </c>
    </row>
    <row r="491" spans="1:12" x14ac:dyDescent="0.3">
      <c r="A491" s="7">
        <v>490</v>
      </c>
      <c r="B491" s="39">
        <v>45824</v>
      </c>
      <c r="C491" s="8" t="s">
        <v>16</v>
      </c>
      <c r="D491" s="9" t="s">
        <v>520</v>
      </c>
      <c r="E491" s="7" t="s">
        <v>44</v>
      </c>
      <c r="F491" s="5">
        <v>4</v>
      </c>
      <c r="G491" s="6" t="s">
        <v>14</v>
      </c>
      <c r="H491" s="7" t="s">
        <v>15</v>
      </c>
      <c r="I491" s="7">
        <v>57</v>
      </c>
      <c r="J491" s="7">
        <v>13</v>
      </c>
      <c r="K491" s="7">
        <f t="shared" si="14"/>
        <v>7.41</v>
      </c>
      <c r="L491" s="7">
        <f t="shared" si="16"/>
        <v>2.96</v>
      </c>
    </row>
    <row r="492" spans="1:12" x14ac:dyDescent="0.3">
      <c r="A492" s="2">
        <v>491</v>
      </c>
      <c r="B492" s="38">
        <v>45790</v>
      </c>
      <c r="C492" s="12" t="s">
        <v>20</v>
      </c>
      <c r="D492" s="4" t="s">
        <v>521</v>
      </c>
      <c r="E492" s="2" t="s">
        <v>22</v>
      </c>
      <c r="F492" s="5">
        <v>4</v>
      </c>
      <c r="G492" s="6" t="s">
        <v>14</v>
      </c>
      <c r="H492" s="2" t="s">
        <v>27</v>
      </c>
      <c r="I492" s="2">
        <v>23</v>
      </c>
      <c r="J492" s="2">
        <v>15</v>
      </c>
      <c r="K492" s="2">
        <f t="shared" si="14"/>
        <v>3.45</v>
      </c>
      <c r="L492" s="2">
        <f t="shared" si="16"/>
        <v>1.38</v>
      </c>
    </row>
    <row r="493" spans="1:12" x14ac:dyDescent="0.3">
      <c r="A493" s="7">
        <v>492</v>
      </c>
      <c r="B493" s="39">
        <v>45830</v>
      </c>
      <c r="C493" s="8" t="s">
        <v>16</v>
      </c>
      <c r="D493" s="9" t="s">
        <v>522</v>
      </c>
      <c r="E493" s="7" t="s">
        <v>13</v>
      </c>
      <c r="F493" s="16">
        <v>3</v>
      </c>
      <c r="G493" s="17" t="s">
        <v>34</v>
      </c>
      <c r="H493" s="7" t="s">
        <v>19</v>
      </c>
      <c r="I493" s="7">
        <v>10.8</v>
      </c>
      <c r="J493" s="7">
        <v>13</v>
      </c>
      <c r="K493" s="7">
        <f t="shared" si="14"/>
        <v>1.4</v>
      </c>
      <c r="L493" s="7">
        <f t="shared" si="16"/>
        <v>0.56000000000000005</v>
      </c>
    </row>
    <row r="494" spans="1:12" x14ac:dyDescent="0.3">
      <c r="A494" s="2">
        <v>493</v>
      </c>
      <c r="B494" s="38">
        <v>45787</v>
      </c>
      <c r="C494" s="12" t="s">
        <v>20</v>
      </c>
      <c r="D494" s="4" t="s">
        <v>523</v>
      </c>
      <c r="E494" s="2" t="s">
        <v>36</v>
      </c>
      <c r="F494" s="16">
        <v>3</v>
      </c>
      <c r="G494" s="17" t="s">
        <v>34</v>
      </c>
      <c r="H494" s="2" t="s">
        <v>15</v>
      </c>
      <c r="I494" s="2">
        <v>24.4</v>
      </c>
      <c r="J494" s="2">
        <v>15</v>
      </c>
      <c r="K494" s="2">
        <f t="shared" si="14"/>
        <v>3.66</v>
      </c>
      <c r="L494" s="2">
        <f t="shared" si="16"/>
        <v>1.46</v>
      </c>
    </row>
    <row r="495" spans="1:12" x14ac:dyDescent="0.3">
      <c r="A495" s="7">
        <v>494</v>
      </c>
      <c r="B495" s="39">
        <v>45797</v>
      </c>
      <c r="C495" s="12" t="s">
        <v>20</v>
      </c>
      <c r="D495" s="9" t="s">
        <v>524</v>
      </c>
      <c r="E495" s="7" t="s">
        <v>22</v>
      </c>
      <c r="F495" s="5">
        <v>4</v>
      </c>
      <c r="G495" s="6" t="s">
        <v>14</v>
      </c>
      <c r="H495" s="7" t="s">
        <v>19</v>
      </c>
      <c r="I495" s="7">
        <v>23.6</v>
      </c>
      <c r="J495" s="7">
        <v>16</v>
      </c>
      <c r="K495" s="7">
        <f t="shared" si="14"/>
        <v>3.78</v>
      </c>
      <c r="L495" s="7">
        <f t="shared" si="16"/>
        <v>1.51</v>
      </c>
    </row>
    <row r="496" spans="1:12" x14ac:dyDescent="0.3">
      <c r="A496" s="2">
        <v>495</v>
      </c>
      <c r="B496" s="38">
        <v>45677</v>
      </c>
      <c r="C496" s="3" t="s">
        <v>11</v>
      </c>
      <c r="D496" s="4" t="s">
        <v>525</v>
      </c>
      <c r="E496" s="2" t="s">
        <v>26</v>
      </c>
      <c r="F496" s="10">
        <v>5</v>
      </c>
      <c r="G496" s="11" t="s">
        <v>18</v>
      </c>
      <c r="H496" s="2" t="s">
        <v>19</v>
      </c>
      <c r="I496" s="2">
        <v>62.6</v>
      </c>
      <c r="J496" s="2">
        <v>15</v>
      </c>
      <c r="K496" s="2">
        <f t="shared" si="14"/>
        <v>9.39</v>
      </c>
      <c r="L496" s="2">
        <f t="shared" si="16"/>
        <v>3.76</v>
      </c>
    </row>
    <row r="497" spans="1:12" x14ac:dyDescent="0.3">
      <c r="A497" s="7">
        <v>496</v>
      </c>
      <c r="B497" s="39">
        <v>45718</v>
      </c>
      <c r="C497" s="3" t="s">
        <v>11</v>
      </c>
      <c r="D497" s="9" t="s">
        <v>526</v>
      </c>
      <c r="E497" s="7" t="s">
        <v>13</v>
      </c>
      <c r="F497" s="10">
        <v>5</v>
      </c>
      <c r="G497" s="11" t="s">
        <v>18</v>
      </c>
      <c r="H497" s="7" t="s">
        <v>15</v>
      </c>
      <c r="I497" s="7">
        <v>81.599999999999994</v>
      </c>
      <c r="J497" s="7">
        <v>10</v>
      </c>
      <c r="K497" s="7">
        <f t="shared" si="14"/>
        <v>8.16</v>
      </c>
      <c r="L497" s="7">
        <f t="shared" si="16"/>
        <v>3.26</v>
      </c>
    </row>
    <row r="498" spans="1:12" x14ac:dyDescent="0.3">
      <c r="A498" s="2">
        <v>497</v>
      </c>
      <c r="B498" s="38">
        <v>45719</v>
      </c>
      <c r="C498" s="8" t="s">
        <v>16</v>
      </c>
      <c r="D498" s="4" t="s">
        <v>527</v>
      </c>
      <c r="E498" s="2" t="s">
        <v>33</v>
      </c>
      <c r="F498" s="16">
        <v>3</v>
      </c>
      <c r="G498" s="17" t="s">
        <v>34</v>
      </c>
      <c r="H498" s="2" t="s">
        <v>27</v>
      </c>
      <c r="I498" s="2">
        <v>8.5</v>
      </c>
      <c r="J498" s="2">
        <v>13</v>
      </c>
      <c r="K498" s="2">
        <f t="shared" si="14"/>
        <v>1.1100000000000001</v>
      </c>
      <c r="L498" s="2">
        <f t="shared" si="16"/>
        <v>0.44</v>
      </c>
    </row>
    <row r="499" spans="1:12" x14ac:dyDescent="0.3">
      <c r="A499" s="7">
        <v>498</v>
      </c>
      <c r="B499" s="39">
        <v>45792</v>
      </c>
      <c r="C499" s="12" t="s">
        <v>20</v>
      </c>
      <c r="D499" s="9" t="s">
        <v>528</v>
      </c>
      <c r="E499" s="7" t="s">
        <v>29</v>
      </c>
      <c r="F499" s="10">
        <v>5</v>
      </c>
      <c r="G499" s="11" t="s">
        <v>18</v>
      </c>
      <c r="H499" s="7" t="s">
        <v>27</v>
      </c>
      <c r="I499" s="7">
        <v>49.9</v>
      </c>
      <c r="J499" s="7">
        <v>13</v>
      </c>
      <c r="K499" s="7">
        <f t="shared" si="14"/>
        <v>6.49</v>
      </c>
      <c r="L499" s="7">
        <f t="shared" si="16"/>
        <v>2.6</v>
      </c>
    </row>
    <row r="500" spans="1:12" x14ac:dyDescent="0.3">
      <c r="A500" s="2">
        <v>499</v>
      </c>
      <c r="B500" s="38">
        <v>45716</v>
      </c>
      <c r="C500" s="12" t="s">
        <v>20</v>
      </c>
      <c r="D500" s="4" t="s">
        <v>529</v>
      </c>
      <c r="E500" s="2" t="s">
        <v>13</v>
      </c>
      <c r="F500" s="19">
        <v>1</v>
      </c>
      <c r="G500" s="14" t="s">
        <v>23</v>
      </c>
      <c r="H500" s="2" t="s">
        <v>27</v>
      </c>
      <c r="I500" s="2">
        <v>1.5</v>
      </c>
      <c r="J500" s="2">
        <v>18</v>
      </c>
      <c r="K500" s="2">
        <f t="shared" si="14"/>
        <v>0.27</v>
      </c>
      <c r="L500" s="2">
        <f t="shared" si="16"/>
        <v>0.11</v>
      </c>
    </row>
    <row r="501" spans="1:12" x14ac:dyDescent="0.3">
      <c r="A501" s="7">
        <v>500</v>
      </c>
      <c r="B501" s="39">
        <v>45833</v>
      </c>
      <c r="C501" s="15" t="s">
        <v>31</v>
      </c>
      <c r="D501" s="9" t="s">
        <v>530</v>
      </c>
      <c r="E501" s="7" t="s">
        <v>29</v>
      </c>
      <c r="F501" s="5">
        <v>4</v>
      </c>
      <c r="G501" s="6" t="s">
        <v>14</v>
      </c>
      <c r="H501" s="7" t="s">
        <v>15</v>
      </c>
      <c r="I501" s="7">
        <v>56.7</v>
      </c>
      <c r="J501" s="7">
        <v>19</v>
      </c>
      <c r="K501" s="7">
        <f t="shared" si="14"/>
        <v>10.77</v>
      </c>
      <c r="L501" s="7">
        <f t="shared" si="16"/>
        <v>4.3099999999999996</v>
      </c>
    </row>
    <row r="502" spans="1:12" ht="15" customHeight="1" x14ac:dyDescent="0.3"/>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showGridLines="0" zoomScaleNormal="100" workbookViewId="0">
      <selection activeCell="D14" sqref="D14:D16"/>
    </sheetView>
  </sheetViews>
  <sheetFormatPr defaultColWidth="8.6640625" defaultRowHeight="14.4" x14ac:dyDescent="0.3"/>
  <cols>
    <col min="1" max="2" width="14" customWidth="1"/>
    <col min="3" max="3" width="12" customWidth="1"/>
    <col min="4" max="6" width="20" customWidth="1"/>
  </cols>
  <sheetData>
    <row r="1" spans="1:6" ht="33.75" customHeight="1" x14ac:dyDescent="0.3">
      <c r="A1" s="34" t="s">
        <v>531</v>
      </c>
      <c r="B1" s="34"/>
      <c r="C1" s="34"/>
      <c r="D1" s="34"/>
      <c r="E1" s="34"/>
      <c r="F1" s="34"/>
    </row>
    <row r="2" spans="1:6" x14ac:dyDescent="0.3">
      <c r="A2" s="1" t="s">
        <v>1</v>
      </c>
      <c r="B2" s="1" t="s">
        <v>532</v>
      </c>
      <c r="C2" s="43" t="s">
        <v>533</v>
      </c>
      <c r="D2" s="1" t="s">
        <v>534</v>
      </c>
      <c r="E2" s="1" t="s">
        <v>535</v>
      </c>
      <c r="F2" s="1" t="s">
        <v>536</v>
      </c>
    </row>
    <row r="3" spans="1:6" x14ac:dyDescent="0.3">
      <c r="A3" s="21" t="s">
        <v>20</v>
      </c>
      <c r="B3" s="12">
        <f>COUNTIF('Web Series Ratings'!C2:C501,"Bollywood")</f>
        <v>115</v>
      </c>
      <c r="C3" s="12">
        <f>IFERROR(ROUND(AVERAGEIF('Web Series Ratings'!C2:C501,"Bollywood",'Web Series Ratings'!F2:F501),2),"-")</f>
        <v>4</v>
      </c>
      <c r="D3" s="12">
        <f>IFERROR(ROUND(SUMIF('Web Series Ratings'!C2:C501,"Bollywood",'Web Series Ratings'!I2:I501),1),"-")</f>
        <v>5545.7</v>
      </c>
      <c r="E3" s="12">
        <f>IFERROR(ROUND(SUMIF('Web Series Ratings'!C2:C501,"Bollywood",'Web Series Ratings'!K2:K501),2),"-")</f>
        <v>890.15</v>
      </c>
      <c r="F3" s="12">
        <f>IFERROR(ROUND(SUMIF('Web Series Ratings'!C2:C501,"Bollywood",'Web Series Ratings'!L2:L501),2),"-")</f>
        <v>356.07</v>
      </c>
    </row>
    <row r="4" spans="1:6" x14ac:dyDescent="0.3">
      <c r="A4" s="22" t="s">
        <v>11</v>
      </c>
      <c r="B4" s="3">
        <f>COUNTIF('Web Series Ratings'!C2:C501,"Tollywood")</f>
        <v>75</v>
      </c>
      <c r="C4" s="3">
        <f>IFERROR(ROUND(AVERAGEIF('Web Series Ratings'!C2:C501,"Tollywood",'Web Series Ratings'!F2:F501),2),"-")</f>
        <v>4</v>
      </c>
      <c r="D4" s="3">
        <f>IFERROR(ROUND(SUMIF('Web Series Ratings'!C2:C501,"Tollywood",'Web Series Ratings'!I2:I501),1),"-")</f>
        <v>3683.3</v>
      </c>
      <c r="E4" s="3">
        <f>IFERROR(ROUND(SUMIF('Web Series Ratings'!C2:C501,"Tollywood",'Web Series Ratings'!K2:K501),2),"-")</f>
        <v>491.97</v>
      </c>
      <c r="F4" s="3">
        <f>IFERROR(ROUND(SUMIF('Web Series Ratings'!C2:C501,"Tollywood",'Web Series Ratings'!L2:L501),2),"-")</f>
        <v>196.81</v>
      </c>
    </row>
    <row r="5" spans="1:6" x14ac:dyDescent="0.3">
      <c r="A5" s="23" t="s">
        <v>31</v>
      </c>
      <c r="B5" s="15">
        <f>COUNTIF('Web Series Ratings'!C2:C501,"Hollywood")</f>
        <v>145</v>
      </c>
      <c r="C5" s="15">
        <f>IFERROR(ROUND(AVERAGEIF('Web Series Ratings'!C2:C501,"Hollywood",'Web Series Ratings'!F2:F501),2),"-")</f>
        <v>4.08</v>
      </c>
      <c r="D5" s="15">
        <f>IFERROR(ROUND(SUMIF('Web Series Ratings'!C2:C501,"Hollywood",'Web Series Ratings'!I2:I501),1),"-")</f>
        <v>8004</v>
      </c>
      <c r="E5" s="15">
        <f>IFERROR(ROUND(SUMIF('Web Series Ratings'!C2:C501,"Hollywood",'Web Series Ratings'!K2:K501),2),"-")</f>
        <v>1848.62</v>
      </c>
      <c r="F5" s="15">
        <f>IFERROR(ROUND(SUMIF('Web Series Ratings'!C2:C501,"Hollywood",'Web Series Ratings'!L2:L501),2),"-")</f>
        <v>739.37</v>
      </c>
    </row>
    <row r="6" spans="1:6" x14ac:dyDescent="0.3">
      <c r="A6" s="24" t="s">
        <v>16</v>
      </c>
      <c r="B6" s="8">
        <f>COUNTIF('Web Series Ratings'!C2:C501,"Chinese")</f>
        <v>80</v>
      </c>
      <c r="C6" s="8">
        <f>IFERROR(ROUND(AVERAGEIF('Web Series Ratings'!C2:C501,"Chinese",'Web Series Ratings'!F2:F501),2),"-")</f>
        <v>4</v>
      </c>
      <c r="D6" s="8">
        <f>IFERROR(ROUND(SUMIF('Web Series Ratings'!C2:C501,"Chinese",'Web Series Ratings'!I2:I501),1),"-")</f>
        <v>4346.3</v>
      </c>
      <c r="E6" s="8">
        <f>IFERROR(ROUND(SUMIF('Web Series Ratings'!C2:C501,"Chinese",'Web Series Ratings'!K2:K501),2),"-")</f>
        <v>576.47</v>
      </c>
      <c r="F6" s="8">
        <f>IFERROR(ROUND(SUMIF('Web Series Ratings'!C2:C501,"Chinese",'Web Series Ratings'!L2:L501),2),"-")</f>
        <v>230.62</v>
      </c>
    </row>
    <row r="7" spans="1:6" x14ac:dyDescent="0.3">
      <c r="A7" s="25" t="s">
        <v>40</v>
      </c>
      <c r="B7" s="18">
        <f>COUNTIF('Web Series Ratings'!C2:C501,"Japanese")</f>
        <v>85</v>
      </c>
      <c r="C7" s="18">
        <f>IFERROR(ROUND(AVERAGEIF('Web Series Ratings'!C2:C501,"Japanese",'Web Series Ratings'!F2:F501),2),"-")</f>
        <v>3.92</v>
      </c>
      <c r="D7" s="18">
        <f>IFERROR(ROUND(SUMIF('Web Series Ratings'!C2:C501,"Japanese",'Web Series Ratings'!I2:I501),1),"-")</f>
        <v>4138.3999999999996</v>
      </c>
      <c r="E7" s="18">
        <f>IFERROR(ROUND(SUMIF('Web Series Ratings'!C2:C501,"Japanese",'Web Series Ratings'!K2:K501),2),"-")</f>
        <v>702.22</v>
      </c>
      <c r="F7" s="18">
        <f>IFERROR(ROUND(SUMIF('Web Series Ratings'!C2:C501,"Japanese",'Web Series Ratings'!L2:L501),2),"-")</f>
        <v>280.91000000000003</v>
      </c>
    </row>
    <row r="9" spans="1:6" x14ac:dyDescent="0.3">
      <c r="A9" s="20" t="s">
        <v>537</v>
      </c>
      <c r="B9" s="20">
        <f>ROUND(SUM(B3:B7),2)</f>
        <v>500</v>
      </c>
      <c r="C9" s="20">
        <f>ROUND(AVERAGE(C3:C7),2)</f>
        <v>4</v>
      </c>
      <c r="D9" s="20">
        <f>ROUND(SUM(D3:D7),2)</f>
        <v>25717.7</v>
      </c>
      <c r="E9" s="20">
        <f>ROUND(SUM(E3:E7),2)</f>
        <v>4509.43</v>
      </c>
      <c r="F9" s="20">
        <f>ROUND(SUM(F3:F7),2)</f>
        <v>1803.78</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showGridLines="0" zoomScaleNormal="100" workbookViewId="0">
      <selection sqref="A1:F1"/>
    </sheetView>
  </sheetViews>
  <sheetFormatPr defaultColWidth="8.6640625" defaultRowHeight="14.4" x14ac:dyDescent="0.3"/>
  <cols>
    <col min="1" max="1" width="16" customWidth="1"/>
    <col min="2" max="2" width="14" customWidth="1"/>
    <col min="3" max="3" width="12" customWidth="1"/>
    <col min="4" max="6" width="20" customWidth="1"/>
  </cols>
  <sheetData>
    <row r="1" spans="1:6" ht="33.75" customHeight="1" x14ac:dyDescent="0.3">
      <c r="A1" s="34" t="s">
        <v>538</v>
      </c>
      <c r="B1" s="34"/>
      <c r="C1" s="34"/>
      <c r="D1" s="34"/>
      <c r="E1" s="34"/>
      <c r="F1" s="34"/>
    </row>
    <row r="2" spans="1:6" ht="30" customHeight="1" x14ac:dyDescent="0.3">
      <c r="A2" s="1" t="s">
        <v>6</v>
      </c>
      <c r="B2" s="1" t="s">
        <v>532</v>
      </c>
      <c r="C2" s="1" t="s">
        <v>533</v>
      </c>
      <c r="D2" s="1" t="s">
        <v>534</v>
      </c>
      <c r="E2" s="1" t="s">
        <v>535</v>
      </c>
      <c r="F2" s="1" t="s">
        <v>536</v>
      </c>
    </row>
    <row r="3" spans="1:6" x14ac:dyDescent="0.3">
      <c r="A3" s="21" t="s">
        <v>19</v>
      </c>
      <c r="B3" s="12">
        <f>COUNTIF('Web Series Ratings'!H2:H501,"Netflix")</f>
        <v>94</v>
      </c>
      <c r="C3" s="12">
        <f>IFERROR(ROUND(AVERAGEIF('Web Series Ratings'!H2:H501,"Netflix",'Web Series Ratings'!F2:F501),2),"-")</f>
        <v>3.99</v>
      </c>
      <c r="D3" s="12">
        <f>IFERROR(ROUND(SUMIF('Web Series Ratings'!H2:H501,"Netflix",'Web Series Ratings'!I2:I501),1),"-")</f>
        <v>5040.2</v>
      </c>
      <c r="E3" s="12">
        <f>IFERROR(ROUND(SUMIF('Web Series Ratings'!H2:H501,"Netflix",'Web Series Ratings'!K2:K501),2),"-")</f>
        <v>887.12</v>
      </c>
      <c r="F3" s="12">
        <f>IFERROR(ROUND(SUMIF('Web Series Ratings'!H2:H501,"Netflix",'Web Series Ratings'!L2:L501),2),"-")</f>
        <v>354.8</v>
      </c>
    </row>
    <row r="4" spans="1:6" x14ac:dyDescent="0.3">
      <c r="A4" s="22" t="s">
        <v>27</v>
      </c>
      <c r="B4" s="3">
        <f>COUNTIF('Web Series Ratings'!H2:H501,"Amazon Prime")</f>
        <v>102</v>
      </c>
      <c r="C4" s="3">
        <f>IFERROR(ROUND(AVERAGEIF('Web Series Ratings'!H2:H501,"Amazon Prime",'Web Series Ratings'!F2:F501),2),"-")</f>
        <v>3.97</v>
      </c>
      <c r="D4" s="3">
        <f>IFERROR(ROUND(SUMIF('Web Series Ratings'!H2:H501,"Amazon Prime",'Web Series Ratings'!I2:I501),1),"-")</f>
        <v>4998.5</v>
      </c>
      <c r="E4" s="3">
        <f>IFERROR(ROUND(SUMIF('Web Series Ratings'!H2:H501,"Amazon Prime",'Web Series Ratings'!K2:K501),2),"-")</f>
        <v>849.47</v>
      </c>
      <c r="F4" s="3">
        <f>IFERROR(ROUND(SUMIF('Web Series Ratings'!H2:H501,"Amazon Prime",'Web Series Ratings'!L2:L501),2),"-")</f>
        <v>339.74</v>
      </c>
    </row>
    <row r="5" spans="1:6" x14ac:dyDescent="0.3">
      <c r="A5" s="23" t="s">
        <v>15</v>
      </c>
      <c r="B5" s="15">
        <f>COUNTIF('Web Series Ratings'!H2:H501,"Hotstar")</f>
        <v>104</v>
      </c>
      <c r="C5" s="15">
        <f>IFERROR(ROUND(AVERAGEIF('Web Series Ratings'!H2:H501,"Hotstar",'Web Series Ratings'!F2:F501),2),"-")</f>
        <v>4.01</v>
      </c>
      <c r="D5" s="15">
        <f>IFERROR(ROUND(SUMIF('Web Series Ratings'!H2:H501,"Hotstar",'Web Series Ratings'!I2:I501),1),"-")</f>
        <v>5230.3</v>
      </c>
      <c r="E5" s="15">
        <f>IFERROR(ROUND(SUMIF('Web Series Ratings'!H2:H501,"Hotstar",'Web Series Ratings'!K2:K501),2),"-")</f>
        <v>909.23</v>
      </c>
      <c r="F5" s="15">
        <f>IFERROR(ROUND(SUMIF('Web Series Ratings'!H2:H501,"Hotstar",'Web Series Ratings'!L2:L501),2),"-")</f>
        <v>363.75</v>
      </c>
    </row>
    <row r="6" spans="1:6" x14ac:dyDescent="0.3">
      <c r="A6" s="24" t="s">
        <v>24</v>
      </c>
      <c r="B6" s="8">
        <f>COUNTIF('Web Series Ratings'!H2:H501,"SonyLIV")</f>
        <v>106</v>
      </c>
      <c r="C6" s="8">
        <f>IFERROR(ROUND(AVERAGEIF('Web Series Ratings'!H2:H501,"SonyLIV",'Web Series Ratings'!F2:F501),2),"-")</f>
        <v>4</v>
      </c>
      <c r="D6" s="8">
        <f>IFERROR(ROUND(SUMIF('Web Series Ratings'!H2:H501,"SonyLIV",'Web Series Ratings'!I2:I501),1),"-")</f>
        <v>5294.5</v>
      </c>
      <c r="E6" s="8">
        <f>IFERROR(ROUND(SUMIF('Web Series Ratings'!H2:H501,"SonyLIV",'Web Series Ratings'!K2:K501),2),"-")</f>
        <v>974.76</v>
      </c>
      <c r="F6" s="8">
        <f>IFERROR(ROUND(SUMIF('Web Series Ratings'!H2:H501,"SonyLIV",'Web Series Ratings'!L2:L501),2),"-")</f>
        <v>389.92</v>
      </c>
    </row>
    <row r="7" spans="1:6" x14ac:dyDescent="0.3">
      <c r="A7" s="25" t="s">
        <v>48</v>
      </c>
      <c r="B7" s="18">
        <f>COUNTIF('Web Series Ratings'!H2:H501,"JioCinema")</f>
        <v>94</v>
      </c>
      <c r="C7" s="18">
        <f>IFERROR(ROUND(AVERAGEIF('Web Series Ratings'!H2:H501,"JioCinema",'Web Series Ratings'!F2:F501),2),"-")</f>
        <v>4.07</v>
      </c>
      <c r="D7" s="18">
        <f>IFERROR(ROUND(SUMIF('Web Series Ratings'!H2:H501,"JioCinema",'Web Series Ratings'!I2:I501),1),"-")</f>
        <v>5154.2</v>
      </c>
      <c r="E7" s="18">
        <f>IFERROR(ROUND(SUMIF('Web Series Ratings'!H2:H501,"JioCinema",'Web Series Ratings'!K2:K501),2),"-")</f>
        <v>888.85</v>
      </c>
      <c r="F7" s="18">
        <f>IFERROR(ROUND(SUMIF('Web Series Ratings'!H2:H501,"JioCinema",'Web Series Ratings'!L2:L501),2),"-")</f>
        <v>355.57</v>
      </c>
    </row>
    <row r="9" spans="1:6" x14ac:dyDescent="0.3">
      <c r="A9" s="20" t="s">
        <v>537</v>
      </c>
      <c r="B9" s="20">
        <f>ROUND(SUM(B3:B7),2)</f>
        <v>500</v>
      </c>
      <c r="C9" s="20">
        <f>ROUND(AVERAGE(C3:C7),2)</f>
        <v>4.01</v>
      </c>
      <c r="D9" s="20">
        <f>ROUND(SUM(D3:D7),2)</f>
        <v>25717.7</v>
      </c>
      <c r="E9" s="20">
        <f>ROUND(SUM(E3:E7),2)</f>
        <v>4509.43</v>
      </c>
      <c r="F9" s="20">
        <f>ROUND(SUM(F3:F7),2)</f>
        <v>1803.78</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showGridLines="0" topLeftCell="G1" zoomScaleNormal="100" workbookViewId="0">
      <selection activeCell="F3" sqref="F3"/>
    </sheetView>
  </sheetViews>
  <sheetFormatPr defaultColWidth="8.6640625" defaultRowHeight="14.4" x14ac:dyDescent="0.3"/>
  <cols>
    <col min="1" max="2" width="14" customWidth="1"/>
    <col min="3" max="3" width="12" customWidth="1"/>
    <col min="4" max="6" width="20" customWidth="1"/>
  </cols>
  <sheetData>
    <row r="1" spans="1:6" ht="33.75" customHeight="1" x14ac:dyDescent="0.3">
      <c r="A1" s="34" t="s">
        <v>539</v>
      </c>
      <c r="B1" s="34"/>
      <c r="C1" s="34"/>
      <c r="D1" s="34"/>
      <c r="E1" s="34"/>
      <c r="F1" s="34"/>
    </row>
    <row r="2" spans="1:6" ht="30" customHeight="1" x14ac:dyDescent="0.3">
      <c r="A2" s="1" t="s">
        <v>3</v>
      </c>
      <c r="B2" s="1" t="s">
        <v>532</v>
      </c>
      <c r="C2" s="1" t="s">
        <v>533</v>
      </c>
      <c r="D2" s="1" t="s">
        <v>534</v>
      </c>
      <c r="E2" s="1" t="s">
        <v>535</v>
      </c>
      <c r="F2" s="1" t="s">
        <v>536</v>
      </c>
    </row>
    <row r="3" spans="1:6" x14ac:dyDescent="0.3">
      <c r="A3" s="21" t="s">
        <v>13</v>
      </c>
      <c r="B3" s="12">
        <f>COUNTIF('Web Series Ratings'!E2:E501,"Action")</f>
        <v>90</v>
      </c>
      <c r="C3" s="12">
        <f>IFERROR(ROUND(AVERAGEIF('Web Series Ratings'!E2:E501,"Action",'Web Series Ratings'!F2:F501),2),"-")</f>
        <v>3.87</v>
      </c>
      <c r="D3" s="12">
        <f>IFERROR(ROUND(SUMIF('Web Series Ratings'!E2:E501,"Action",'Web Series Ratings'!I2:I501),1),"-")</f>
        <v>4558.7</v>
      </c>
      <c r="E3" s="12">
        <f>IFERROR(ROUND(SUMIF('Web Series Ratings'!E2:E501,"Action",'Web Series Ratings'!K2:K501),2),"-")</f>
        <v>785.32</v>
      </c>
      <c r="F3" s="12">
        <f>IFERROR(ROUND(SUMIF('Web Series Ratings'!E2:E501,"Action",'Web Series Ratings'!L2:L501),2),"-")</f>
        <v>314.08999999999997</v>
      </c>
    </row>
    <row r="4" spans="1:6" x14ac:dyDescent="0.3">
      <c r="A4" s="22" t="s">
        <v>44</v>
      </c>
      <c r="B4" s="3">
        <f>COUNTIF('Web Series Ratings'!E2:E501,"Drama")</f>
        <v>78</v>
      </c>
      <c r="C4" s="3">
        <f>IFERROR(ROUND(AVERAGEIF('Web Series Ratings'!E2:E501,"Drama",'Web Series Ratings'!F2:F501),2),"-")</f>
        <v>4.09</v>
      </c>
      <c r="D4" s="3">
        <f>IFERROR(ROUND(SUMIF('Web Series Ratings'!E2:E501,"Drama",'Web Series Ratings'!I2:I501),1),"-")</f>
        <v>4337.7</v>
      </c>
      <c r="E4" s="3">
        <f>IFERROR(ROUND(SUMIF('Web Series Ratings'!E2:E501,"Drama",'Web Series Ratings'!K2:K501),2),"-")</f>
        <v>753.48</v>
      </c>
      <c r="F4" s="3">
        <f>IFERROR(ROUND(SUMIF('Web Series Ratings'!E2:E501,"Drama",'Web Series Ratings'!L2:L501),2),"-")</f>
        <v>301.41000000000003</v>
      </c>
    </row>
    <row r="5" spans="1:6" x14ac:dyDescent="0.3">
      <c r="A5" s="23" t="s">
        <v>22</v>
      </c>
      <c r="B5" s="15">
        <f>COUNTIF('Web Series Ratings'!E2:E501,"Comedy")</f>
        <v>61</v>
      </c>
      <c r="C5" s="15">
        <f>IFERROR(ROUND(AVERAGEIF('Web Series Ratings'!E2:E501,"Comedy",'Web Series Ratings'!F2:F501),2),"-")</f>
        <v>4</v>
      </c>
      <c r="D5" s="15">
        <f>IFERROR(ROUND(SUMIF('Web Series Ratings'!E2:E501,"Comedy",'Web Series Ratings'!I2:I501),1),"-")</f>
        <v>2976.2</v>
      </c>
      <c r="E5" s="15">
        <f>IFERROR(ROUND(SUMIF('Web Series Ratings'!E2:E501,"Comedy",'Web Series Ratings'!K2:K501),2),"-")</f>
        <v>536.16</v>
      </c>
      <c r="F5" s="15">
        <f>IFERROR(ROUND(SUMIF('Web Series Ratings'!E2:E501,"Comedy",'Web Series Ratings'!L2:L501),2),"-")</f>
        <v>214.49</v>
      </c>
    </row>
    <row r="6" spans="1:6" x14ac:dyDescent="0.3">
      <c r="A6" s="24" t="s">
        <v>36</v>
      </c>
      <c r="B6" s="8">
        <f>COUNTIF('Web Series Ratings'!E2:E501,"Thriller")</f>
        <v>66</v>
      </c>
      <c r="C6" s="8">
        <f>IFERROR(ROUND(AVERAGEIF('Web Series Ratings'!E2:E501,"Thriller",'Web Series Ratings'!F2:F501),2),"-")</f>
        <v>4.1399999999999997</v>
      </c>
      <c r="D6" s="8">
        <f>IFERROR(ROUND(SUMIF('Web Series Ratings'!E2:E501,"Thriller",'Web Series Ratings'!I2:I501),1),"-")</f>
        <v>3635.1</v>
      </c>
      <c r="E6" s="8">
        <f>IFERROR(ROUND(SUMIF('Web Series Ratings'!E2:E501,"Thriller",'Web Series Ratings'!K2:K501),2),"-")</f>
        <v>637.38</v>
      </c>
      <c r="F6" s="8">
        <f>IFERROR(ROUND(SUMIF('Web Series Ratings'!E2:E501,"Thriller",'Web Series Ratings'!L2:L501),2),"-")</f>
        <v>254.96</v>
      </c>
    </row>
    <row r="7" spans="1:6" x14ac:dyDescent="0.3">
      <c r="A7" s="25" t="s">
        <v>29</v>
      </c>
      <c r="B7" s="18">
        <f>COUNTIF('Web Series Ratings'!E2:E501,"Crime")</f>
        <v>55</v>
      </c>
      <c r="C7" s="18">
        <f>IFERROR(ROUND(AVERAGEIF('Web Series Ratings'!E2:E501,"Crime",'Web Series Ratings'!F2:F501),2),"-")</f>
        <v>4.09</v>
      </c>
      <c r="D7" s="18">
        <f>IFERROR(ROUND(SUMIF('Web Series Ratings'!E2:E501,"Crime",'Web Series Ratings'!I2:I501),1),"-")</f>
        <v>2897.2</v>
      </c>
      <c r="E7" s="18">
        <f>IFERROR(ROUND(SUMIF('Web Series Ratings'!E2:E501,"Crime",'Web Series Ratings'!K2:K501),2),"-")</f>
        <v>502.02</v>
      </c>
      <c r="F7" s="18">
        <f>IFERROR(ROUND(SUMIF('Web Series Ratings'!E2:E501,"Crime",'Web Series Ratings'!L2:L501),2),"-")</f>
        <v>200.78</v>
      </c>
    </row>
    <row r="8" spans="1:6" x14ac:dyDescent="0.3">
      <c r="A8" s="26" t="s">
        <v>46</v>
      </c>
      <c r="B8" s="27">
        <f>COUNTIF('Web Series Ratings'!E2:E501,"Romance")</f>
        <v>80</v>
      </c>
      <c r="C8" s="27">
        <f>IFERROR(ROUND(AVERAGEIF('Web Series Ratings'!E2:E501,"Romance",'Web Series Ratings'!F2:F501),2),"-")</f>
        <v>3.9</v>
      </c>
      <c r="D8" s="27">
        <f>IFERROR(ROUND(SUMIF('Web Series Ratings'!E2:E501,"Romance",'Web Series Ratings'!I2:I501),1),"-")</f>
        <v>3487.2</v>
      </c>
      <c r="E8" s="27">
        <f>IFERROR(ROUND(SUMIF('Web Series Ratings'!E2:E501,"Romance",'Web Series Ratings'!K2:K501),2),"-")</f>
        <v>604.9</v>
      </c>
      <c r="F8" s="27">
        <f>IFERROR(ROUND(SUMIF('Web Series Ratings'!E2:E501,"Romance",'Web Series Ratings'!L2:L501),2),"-")</f>
        <v>241.99</v>
      </c>
    </row>
    <row r="9" spans="1:6" x14ac:dyDescent="0.3">
      <c r="A9" s="28" t="s">
        <v>26</v>
      </c>
      <c r="B9" s="29">
        <f>COUNTIF('Web Series Ratings'!E2:E501,"Horror")</f>
        <v>35</v>
      </c>
      <c r="C9" s="29">
        <f>IFERROR(ROUND(AVERAGEIF('Web Series Ratings'!E2:E501,"Horror",'Web Series Ratings'!F2:F501),2),"-")</f>
        <v>3.97</v>
      </c>
      <c r="D9" s="29">
        <f>IFERROR(ROUND(SUMIF('Web Series Ratings'!E2:E501,"Horror",'Web Series Ratings'!I2:I501),1),"-")</f>
        <v>1641.8</v>
      </c>
      <c r="E9" s="29">
        <f>IFERROR(ROUND(SUMIF('Web Series Ratings'!E2:E501,"Horror",'Web Series Ratings'!K2:K501),2),"-")</f>
        <v>306.83</v>
      </c>
      <c r="F9" s="29">
        <f>IFERROR(ROUND(SUMIF('Web Series Ratings'!E2:E501,"Horror",'Web Series Ratings'!L2:L501),2),"-")</f>
        <v>122.73</v>
      </c>
    </row>
    <row r="10" spans="1:6" x14ac:dyDescent="0.3">
      <c r="A10" s="30" t="s">
        <v>33</v>
      </c>
      <c r="B10" s="31">
        <f>COUNTIF('Web Series Ratings'!E2:E501,"Fantasy")</f>
        <v>35</v>
      </c>
      <c r="C10" s="31">
        <f>IFERROR(ROUND(AVERAGEIF('Web Series Ratings'!E2:E501,"Fantasy",'Web Series Ratings'!F2:F501),2),"-")</f>
        <v>4.1100000000000003</v>
      </c>
      <c r="D10" s="31">
        <f>IFERROR(ROUND(SUMIF('Web Series Ratings'!E2:E501,"Fantasy",'Web Series Ratings'!I2:I501),1),"-")</f>
        <v>2183.8000000000002</v>
      </c>
      <c r="E10" s="31">
        <f>IFERROR(ROUND(SUMIF('Web Series Ratings'!E2:E501,"Fantasy",'Web Series Ratings'!K2:K501),2),"-")</f>
        <v>383.34</v>
      </c>
      <c r="F10" s="31">
        <f>IFERROR(ROUND(SUMIF('Web Series Ratings'!E2:E501,"Fantasy",'Web Series Ratings'!L2:L501),2),"-")</f>
        <v>153.33000000000001</v>
      </c>
    </row>
    <row r="12" spans="1:6" x14ac:dyDescent="0.3">
      <c r="A12" s="20" t="s">
        <v>537</v>
      </c>
      <c r="B12" s="20">
        <f>ROUND(SUM(B3:B10),2)</f>
        <v>500</v>
      </c>
      <c r="C12" s="20">
        <f>ROUND(AVERAGE(C3:C10),2)</f>
        <v>4.0199999999999996</v>
      </c>
      <c r="D12" s="20">
        <f>ROUND(SUM(D3:D10),2)</f>
        <v>25717.7</v>
      </c>
      <c r="E12" s="20">
        <f>ROUND(SUM(E3:E10),2)</f>
        <v>4509.43</v>
      </c>
      <c r="F12" s="20">
        <f>ROUND(SUM(F3:F10),2)</f>
        <v>1803.78</v>
      </c>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DBAA-9032-4F53-B8DF-F729C2C78C77}">
  <dimension ref="A1:V30"/>
  <sheetViews>
    <sheetView tabSelected="1" zoomScale="87" workbookViewId="0">
      <selection activeCell="U8" sqref="U8"/>
    </sheetView>
  </sheetViews>
  <sheetFormatPr defaultRowHeight="14.4" x14ac:dyDescent="0.3"/>
  <sheetData>
    <row r="1" spans="1:22" s="41" customFormat="1" ht="45" customHeight="1" x14ac:dyDescent="0.65">
      <c r="A1" s="40" t="s">
        <v>552</v>
      </c>
      <c r="B1" s="40"/>
      <c r="C1" s="40"/>
      <c r="D1" s="40"/>
      <c r="E1" s="40"/>
      <c r="F1" s="40"/>
      <c r="G1" s="40"/>
      <c r="H1" s="40"/>
      <c r="I1" s="40"/>
      <c r="J1" s="40"/>
      <c r="K1" s="40"/>
      <c r="L1" s="40"/>
      <c r="M1" s="40"/>
      <c r="N1" s="40"/>
      <c r="O1" s="40"/>
      <c r="P1" s="40"/>
      <c r="Q1" s="40"/>
      <c r="R1" s="40"/>
      <c r="S1" s="40"/>
      <c r="T1" s="40"/>
      <c r="U1" s="40"/>
      <c r="V1" s="40"/>
    </row>
    <row r="2" spans="1:22" ht="25.2" customHeight="1" x14ac:dyDescent="0.3">
      <c r="A2" s="37"/>
      <c r="B2" s="37"/>
      <c r="C2" s="37"/>
      <c r="D2" s="37"/>
      <c r="E2" s="37"/>
      <c r="F2" s="37"/>
      <c r="G2" s="37"/>
      <c r="H2" s="37"/>
      <c r="I2" s="37"/>
      <c r="J2" s="37"/>
      <c r="K2" s="37"/>
      <c r="L2" s="37"/>
      <c r="M2" s="37"/>
      <c r="N2" s="37"/>
      <c r="O2" s="37"/>
      <c r="P2" s="37"/>
      <c r="Q2" s="37"/>
      <c r="R2" s="37"/>
      <c r="S2" s="37"/>
      <c r="T2" s="37"/>
      <c r="U2" s="37"/>
      <c r="V2" s="37"/>
    </row>
    <row r="3" spans="1:22" ht="32.4" customHeight="1" x14ac:dyDescent="0.3">
      <c r="A3" s="37"/>
      <c r="B3" s="37"/>
      <c r="C3" s="37"/>
      <c r="D3" s="37"/>
      <c r="E3" s="37"/>
      <c r="F3" s="37"/>
      <c r="G3" s="37"/>
      <c r="H3" s="37"/>
      <c r="I3" s="37"/>
      <c r="J3" s="37"/>
      <c r="K3" s="37"/>
      <c r="L3" s="37"/>
      <c r="M3" s="37"/>
      <c r="N3" s="37"/>
      <c r="O3" s="37"/>
      <c r="P3" s="37"/>
      <c r="Q3" s="37"/>
      <c r="R3" s="37"/>
      <c r="S3" s="37"/>
      <c r="T3" s="37"/>
      <c r="U3" s="37"/>
      <c r="V3" s="37"/>
    </row>
    <row r="4" spans="1:22" ht="22.2" customHeight="1" x14ac:dyDescent="0.3">
      <c r="A4" s="36"/>
      <c r="B4" s="36"/>
      <c r="C4" s="36"/>
      <c r="D4" s="36"/>
      <c r="E4" s="36"/>
      <c r="F4" s="36"/>
      <c r="G4" s="36"/>
      <c r="H4" s="36"/>
      <c r="I4" s="36"/>
      <c r="J4" s="36"/>
      <c r="K4" s="36"/>
      <c r="L4" s="36"/>
      <c r="M4" s="36"/>
      <c r="N4" s="36"/>
      <c r="O4" s="36"/>
      <c r="P4" s="36"/>
      <c r="Q4" s="36"/>
      <c r="R4" s="36"/>
      <c r="S4" s="36"/>
      <c r="T4" s="42"/>
      <c r="U4" s="36"/>
      <c r="V4" s="36"/>
    </row>
    <row r="5" spans="1:22" x14ac:dyDescent="0.3">
      <c r="A5" s="36"/>
      <c r="B5" s="36"/>
      <c r="C5" s="36"/>
      <c r="D5" s="36"/>
      <c r="E5" s="36"/>
      <c r="F5" s="36"/>
      <c r="G5" s="36"/>
      <c r="H5" s="36"/>
      <c r="I5" s="36"/>
      <c r="J5" s="36"/>
      <c r="K5" s="36"/>
      <c r="L5" s="36"/>
      <c r="M5" s="36"/>
      <c r="N5" s="36"/>
      <c r="O5" s="36"/>
      <c r="P5" s="36"/>
      <c r="Q5" s="36"/>
      <c r="R5" s="36"/>
      <c r="S5" s="36"/>
      <c r="T5" s="36"/>
      <c r="U5" s="36"/>
      <c r="V5" s="36"/>
    </row>
    <row r="6" spans="1:22" x14ac:dyDescent="0.3">
      <c r="A6" s="36"/>
      <c r="B6" s="36"/>
      <c r="C6" s="36"/>
      <c r="D6" s="36"/>
      <c r="E6" s="36"/>
      <c r="F6" s="36"/>
      <c r="G6" s="36"/>
      <c r="H6" s="36"/>
      <c r="I6" s="36"/>
      <c r="J6" s="36"/>
      <c r="K6" s="36"/>
      <c r="L6" s="36"/>
      <c r="M6" s="36"/>
      <c r="N6" s="36"/>
      <c r="O6" s="36"/>
      <c r="P6" s="36"/>
      <c r="Q6" s="36"/>
      <c r="R6" s="36"/>
      <c r="S6" s="36"/>
      <c r="T6" s="36"/>
      <c r="U6" s="36"/>
      <c r="V6" s="36"/>
    </row>
    <row r="7" spans="1:22" x14ac:dyDescent="0.3">
      <c r="A7" s="36"/>
      <c r="B7" s="36"/>
      <c r="C7" s="36"/>
      <c r="D7" s="36"/>
      <c r="E7" s="36"/>
      <c r="F7" s="36"/>
      <c r="G7" s="36"/>
      <c r="H7" s="36"/>
      <c r="I7" s="36"/>
      <c r="J7" s="36"/>
      <c r="K7" s="36"/>
      <c r="L7" s="36"/>
      <c r="M7" s="36"/>
      <c r="N7" s="36"/>
      <c r="O7" s="36"/>
      <c r="P7" s="36"/>
      <c r="Q7" s="36"/>
      <c r="R7" s="36"/>
      <c r="S7" s="36"/>
      <c r="T7" s="36"/>
      <c r="U7" s="36"/>
      <c r="V7" s="36"/>
    </row>
    <row r="8" spans="1:22" x14ac:dyDescent="0.3">
      <c r="A8" s="36"/>
      <c r="B8" s="36"/>
      <c r="C8" s="36"/>
      <c r="D8" s="36"/>
      <c r="E8" s="36"/>
      <c r="F8" s="36"/>
      <c r="G8" s="36"/>
      <c r="H8" s="36"/>
      <c r="I8" s="36"/>
      <c r="J8" s="36"/>
      <c r="K8" s="36"/>
      <c r="L8" s="36"/>
      <c r="M8" s="36"/>
      <c r="N8" s="36"/>
      <c r="O8" s="36"/>
      <c r="P8" s="36"/>
      <c r="Q8" s="36"/>
      <c r="R8" s="36"/>
      <c r="S8" s="36"/>
      <c r="T8" s="36"/>
      <c r="U8" s="36"/>
      <c r="V8" s="36"/>
    </row>
    <row r="9" spans="1:22" x14ac:dyDescent="0.3">
      <c r="A9" s="36"/>
      <c r="B9" s="36"/>
      <c r="C9" s="36"/>
      <c r="D9" s="36"/>
      <c r="E9" s="36"/>
      <c r="F9" s="36"/>
      <c r="G9" s="36"/>
      <c r="H9" s="36"/>
      <c r="I9" s="36"/>
      <c r="J9" s="36"/>
      <c r="K9" s="36"/>
      <c r="L9" s="36"/>
      <c r="M9" s="36"/>
      <c r="N9" s="36"/>
      <c r="O9" s="36"/>
      <c r="P9" s="36"/>
      <c r="Q9" s="36"/>
      <c r="R9" s="36"/>
      <c r="S9" s="36"/>
      <c r="T9" s="36"/>
      <c r="U9" s="36"/>
      <c r="V9" s="36"/>
    </row>
    <row r="10" spans="1:22" x14ac:dyDescent="0.3">
      <c r="A10" s="36"/>
      <c r="B10" s="36"/>
      <c r="C10" s="36"/>
      <c r="D10" s="36"/>
      <c r="E10" s="36"/>
      <c r="F10" s="36"/>
      <c r="G10" s="36"/>
      <c r="H10" s="36"/>
      <c r="I10" s="36"/>
      <c r="J10" s="36"/>
      <c r="K10" s="36"/>
      <c r="L10" s="36"/>
      <c r="M10" s="36"/>
      <c r="N10" s="36"/>
      <c r="O10" s="36"/>
      <c r="P10" s="36"/>
      <c r="Q10" s="36"/>
      <c r="R10" s="36"/>
      <c r="S10" s="36"/>
      <c r="T10" s="36"/>
      <c r="U10" s="36"/>
      <c r="V10" s="36"/>
    </row>
    <row r="11" spans="1:22" x14ac:dyDescent="0.3">
      <c r="A11" s="36"/>
      <c r="B11" s="36"/>
      <c r="C11" s="36"/>
      <c r="D11" s="36"/>
      <c r="E11" s="36"/>
      <c r="F11" s="36"/>
      <c r="G11" s="36"/>
      <c r="H11" s="36"/>
      <c r="I11" s="36"/>
      <c r="J11" s="36"/>
      <c r="K11" s="36"/>
      <c r="L11" s="36"/>
      <c r="M11" s="36"/>
      <c r="N11" s="36"/>
      <c r="O11" s="36"/>
      <c r="P11" s="36"/>
      <c r="Q11" s="36"/>
      <c r="R11" s="36"/>
      <c r="S11" s="36"/>
      <c r="T11" s="36"/>
      <c r="U11" s="36"/>
      <c r="V11" s="36"/>
    </row>
    <row r="12" spans="1:22" x14ac:dyDescent="0.3">
      <c r="A12" s="36"/>
      <c r="B12" s="36"/>
      <c r="C12" s="36"/>
      <c r="D12" s="36"/>
      <c r="E12" s="36"/>
      <c r="F12" s="36"/>
      <c r="G12" s="36"/>
      <c r="H12" s="36"/>
      <c r="I12" s="36"/>
      <c r="J12" s="36"/>
      <c r="K12" s="36"/>
      <c r="L12" s="36"/>
      <c r="M12" s="36"/>
      <c r="N12" s="36"/>
      <c r="O12" s="36"/>
      <c r="P12" s="36"/>
      <c r="Q12" s="36"/>
      <c r="R12" s="36"/>
      <c r="S12" s="36"/>
      <c r="T12" s="36"/>
      <c r="U12" s="36"/>
      <c r="V12" s="36"/>
    </row>
    <row r="13" spans="1:22" x14ac:dyDescent="0.3">
      <c r="A13" s="36"/>
      <c r="B13" s="36"/>
      <c r="C13" s="36"/>
      <c r="D13" s="36"/>
      <c r="E13" s="36"/>
      <c r="F13" s="36"/>
      <c r="G13" s="36"/>
      <c r="H13" s="36"/>
      <c r="I13" s="36"/>
      <c r="J13" s="36"/>
      <c r="K13" s="36"/>
      <c r="L13" s="36"/>
      <c r="M13" s="36"/>
      <c r="N13" s="36"/>
      <c r="O13" s="36"/>
      <c r="P13" s="36"/>
      <c r="Q13" s="36"/>
      <c r="R13" s="36"/>
      <c r="S13" s="36"/>
      <c r="T13" s="36"/>
      <c r="U13" s="36"/>
      <c r="V13" s="36"/>
    </row>
    <row r="14" spans="1:22" x14ac:dyDescent="0.3">
      <c r="A14" s="36"/>
      <c r="B14" s="36"/>
      <c r="C14" s="36"/>
      <c r="D14" s="36"/>
      <c r="E14" s="36"/>
      <c r="F14" s="36"/>
      <c r="G14" s="36"/>
      <c r="H14" s="36"/>
      <c r="I14" s="36"/>
      <c r="J14" s="36"/>
      <c r="K14" s="36"/>
      <c r="L14" s="36"/>
      <c r="M14" s="36"/>
      <c r="N14" s="36"/>
      <c r="O14" s="36"/>
      <c r="P14" s="36"/>
      <c r="Q14" s="36"/>
      <c r="R14" s="36"/>
      <c r="S14" s="36"/>
      <c r="T14" s="36"/>
      <c r="U14" s="36"/>
      <c r="V14" s="36"/>
    </row>
    <row r="15" spans="1:22" x14ac:dyDescent="0.3">
      <c r="A15" s="36"/>
      <c r="B15" s="36"/>
      <c r="C15" s="36"/>
      <c r="D15" s="36"/>
      <c r="E15" s="36"/>
      <c r="F15" s="36"/>
      <c r="G15" s="36"/>
      <c r="H15" s="36"/>
      <c r="I15" s="36"/>
      <c r="J15" s="36"/>
      <c r="K15" s="36"/>
      <c r="L15" s="36"/>
      <c r="M15" s="36"/>
      <c r="N15" s="36"/>
      <c r="O15" s="36"/>
      <c r="P15" s="36"/>
      <c r="Q15" s="36"/>
      <c r="R15" s="36"/>
      <c r="S15" s="36"/>
      <c r="T15" s="36"/>
      <c r="U15" s="36"/>
      <c r="V15" s="36"/>
    </row>
    <row r="16" spans="1:22" x14ac:dyDescent="0.3">
      <c r="A16" s="36"/>
      <c r="B16" s="36"/>
      <c r="C16" s="36"/>
      <c r="D16" s="36"/>
      <c r="E16" s="36"/>
      <c r="F16" s="36"/>
      <c r="G16" s="36"/>
      <c r="H16" s="36"/>
      <c r="I16" s="36"/>
      <c r="J16" s="36"/>
      <c r="K16" s="36"/>
      <c r="L16" s="36"/>
      <c r="M16" s="36"/>
      <c r="N16" s="36"/>
      <c r="O16" s="36"/>
      <c r="P16" s="36"/>
      <c r="Q16" s="36"/>
      <c r="R16" s="36"/>
      <c r="S16" s="36"/>
      <c r="T16" s="36"/>
      <c r="U16" s="36"/>
      <c r="V16" s="36"/>
    </row>
    <row r="17" spans="1:22" x14ac:dyDescent="0.3">
      <c r="A17" s="36"/>
      <c r="B17" s="36"/>
      <c r="C17" s="36"/>
      <c r="D17" s="36"/>
      <c r="E17" s="36"/>
      <c r="F17" s="36"/>
      <c r="G17" s="36"/>
      <c r="H17" s="36"/>
      <c r="I17" s="36"/>
      <c r="J17" s="36"/>
      <c r="K17" s="36"/>
      <c r="L17" s="36"/>
      <c r="M17" s="36"/>
      <c r="N17" s="36"/>
      <c r="O17" s="36"/>
      <c r="P17" s="36"/>
      <c r="Q17" s="36"/>
      <c r="R17" s="36"/>
      <c r="S17" s="36"/>
      <c r="T17" s="36"/>
      <c r="U17" s="36"/>
      <c r="V17" s="36"/>
    </row>
    <row r="18" spans="1:22" x14ac:dyDescent="0.3">
      <c r="A18" s="36"/>
      <c r="B18" s="36"/>
      <c r="C18" s="36"/>
      <c r="D18" s="36"/>
      <c r="E18" s="36"/>
      <c r="F18" s="36"/>
      <c r="G18" s="36"/>
      <c r="H18" s="36"/>
      <c r="I18" s="36"/>
      <c r="J18" s="36"/>
      <c r="K18" s="36"/>
      <c r="L18" s="36"/>
      <c r="M18" s="36"/>
      <c r="N18" s="36"/>
      <c r="O18" s="36"/>
      <c r="P18" s="36"/>
      <c r="Q18" s="36"/>
      <c r="R18" s="36"/>
      <c r="S18" s="36"/>
      <c r="T18" s="36"/>
      <c r="U18" s="36"/>
      <c r="V18" s="36"/>
    </row>
    <row r="19" spans="1:22" x14ac:dyDescent="0.3">
      <c r="A19" s="36"/>
      <c r="B19" s="36"/>
      <c r="C19" s="36"/>
      <c r="D19" s="36"/>
      <c r="E19" s="36"/>
      <c r="F19" s="36"/>
      <c r="G19" s="36"/>
      <c r="H19" s="36"/>
      <c r="I19" s="36"/>
      <c r="J19" s="36"/>
      <c r="K19" s="36"/>
      <c r="L19" s="36"/>
      <c r="M19" s="36"/>
      <c r="N19" s="36"/>
      <c r="O19" s="36"/>
      <c r="P19" s="36"/>
      <c r="Q19" s="36"/>
      <c r="R19" s="36"/>
      <c r="S19" s="36"/>
      <c r="T19" s="36"/>
      <c r="U19" s="36"/>
      <c r="V19" s="36"/>
    </row>
    <row r="20" spans="1:22" x14ac:dyDescent="0.3">
      <c r="A20" s="36"/>
      <c r="B20" s="36"/>
      <c r="C20" s="36"/>
      <c r="D20" s="36"/>
      <c r="E20" s="36"/>
      <c r="F20" s="36"/>
      <c r="G20" s="36"/>
      <c r="H20" s="36"/>
      <c r="I20" s="36"/>
      <c r="J20" s="36"/>
      <c r="K20" s="36"/>
      <c r="L20" s="36"/>
      <c r="M20" s="36"/>
      <c r="N20" s="36"/>
      <c r="O20" s="36"/>
      <c r="P20" s="36"/>
      <c r="Q20" s="36"/>
      <c r="R20" s="36"/>
      <c r="S20" s="36"/>
      <c r="T20" s="36"/>
      <c r="U20" s="36"/>
      <c r="V20" s="36"/>
    </row>
    <row r="21" spans="1:22" x14ac:dyDescent="0.3">
      <c r="A21" s="36"/>
      <c r="B21" s="36"/>
      <c r="C21" s="36"/>
      <c r="D21" s="36"/>
      <c r="E21" s="36"/>
      <c r="F21" s="36"/>
      <c r="G21" s="36"/>
      <c r="H21" s="36"/>
      <c r="I21" s="36"/>
      <c r="J21" s="36"/>
      <c r="K21" s="36"/>
      <c r="L21" s="36"/>
      <c r="M21" s="36"/>
      <c r="N21" s="36"/>
      <c r="O21" s="36"/>
      <c r="P21" s="36"/>
      <c r="Q21" s="36"/>
      <c r="R21" s="36"/>
      <c r="S21" s="36"/>
      <c r="T21" s="36"/>
      <c r="U21" s="36"/>
      <c r="V21" s="36"/>
    </row>
    <row r="22" spans="1:22" x14ac:dyDescent="0.3">
      <c r="A22" s="36"/>
      <c r="B22" s="36"/>
      <c r="C22" s="36"/>
      <c r="D22" s="36"/>
      <c r="E22" s="36"/>
      <c r="F22" s="36"/>
      <c r="G22" s="36"/>
      <c r="H22" s="36"/>
      <c r="I22" s="36"/>
      <c r="J22" s="36"/>
      <c r="K22" s="36"/>
      <c r="L22" s="36"/>
      <c r="M22" s="36"/>
      <c r="N22" s="36"/>
      <c r="O22" s="36"/>
      <c r="P22" s="36"/>
      <c r="Q22" s="36"/>
      <c r="R22" s="36"/>
      <c r="S22" s="36"/>
      <c r="T22" s="36"/>
      <c r="U22" s="36"/>
      <c r="V22" s="36"/>
    </row>
    <row r="23" spans="1:22" x14ac:dyDescent="0.3">
      <c r="A23" s="36"/>
      <c r="B23" s="36"/>
      <c r="C23" s="36"/>
      <c r="D23" s="36"/>
      <c r="E23" s="36"/>
      <c r="F23" s="36"/>
      <c r="G23" s="36"/>
      <c r="H23" s="36"/>
      <c r="I23" s="36"/>
      <c r="J23" s="36"/>
      <c r="K23" s="36"/>
      <c r="L23" s="36"/>
      <c r="M23" s="36"/>
      <c r="N23" s="36"/>
      <c r="O23" s="36"/>
      <c r="P23" s="36"/>
      <c r="Q23" s="36"/>
      <c r="R23" s="36"/>
      <c r="S23" s="36"/>
      <c r="T23" s="36"/>
      <c r="U23" s="36"/>
      <c r="V23" s="36"/>
    </row>
    <row r="24" spans="1:22" x14ac:dyDescent="0.3">
      <c r="A24" s="36"/>
      <c r="B24" s="36"/>
      <c r="C24" s="36"/>
      <c r="D24" s="36"/>
      <c r="E24" s="36"/>
      <c r="F24" s="36"/>
      <c r="G24" s="36"/>
      <c r="H24" s="36"/>
      <c r="I24" s="36"/>
      <c r="J24" s="36"/>
      <c r="K24" s="36"/>
      <c r="L24" s="36"/>
      <c r="M24" s="36"/>
      <c r="N24" s="36"/>
      <c r="O24" s="36"/>
      <c r="P24" s="36"/>
      <c r="Q24" s="36"/>
      <c r="R24" s="36"/>
      <c r="S24" s="36"/>
      <c r="T24" s="36"/>
      <c r="U24" s="36"/>
      <c r="V24" s="36"/>
    </row>
    <row r="25" spans="1:22" x14ac:dyDescent="0.3">
      <c r="A25" s="36"/>
      <c r="B25" s="36"/>
      <c r="C25" s="36"/>
      <c r="D25" s="36"/>
      <c r="E25" s="36"/>
      <c r="F25" s="36"/>
      <c r="G25" s="36"/>
      <c r="H25" s="36"/>
      <c r="I25" s="36"/>
      <c r="J25" s="36"/>
      <c r="K25" s="36"/>
      <c r="L25" s="36"/>
      <c r="M25" s="36"/>
      <c r="N25" s="36"/>
      <c r="O25" s="36"/>
      <c r="P25" s="36"/>
      <c r="Q25" s="36"/>
      <c r="R25" s="36"/>
      <c r="S25" s="36"/>
      <c r="T25" s="36"/>
      <c r="U25" s="36"/>
      <c r="V25" s="36"/>
    </row>
    <row r="26" spans="1:22" x14ac:dyDescent="0.3">
      <c r="A26" s="36"/>
      <c r="B26" s="36"/>
      <c r="C26" s="36"/>
      <c r="D26" s="36"/>
      <c r="E26" s="36"/>
      <c r="F26" s="36"/>
      <c r="G26" s="36"/>
      <c r="H26" s="36"/>
      <c r="I26" s="36"/>
      <c r="J26" s="36"/>
      <c r="K26" s="36"/>
      <c r="L26" s="36"/>
      <c r="M26" s="36"/>
      <c r="N26" s="36"/>
      <c r="O26" s="36"/>
      <c r="P26" s="36"/>
      <c r="Q26" s="36"/>
      <c r="R26" s="36"/>
      <c r="S26" s="36"/>
      <c r="T26" s="36"/>
      <c r="U26" s="36"/>
      <c r="V26" s="36"/>
    </row>
    <row r="27" spans="1:22" x14ac:dyDescent="0.3">
      <c r="A27" s="36"/>
      <c r="B27" s="36"/>
      <c r="C27" s="36"/>
      <c r="D27" s="36"/>
      <c r="E27" s="36"/>
      <c r="F27" s="36"/>
      <c r="G27" s="36"/>
      <c r="H27" s="36"/>
      <c r="I27" s="36"/>
      <c r="J27" s="36"/>
      <c r="K27" s="36"/>
      <c r="L27" s="36"/>
      <c r="M27" s="36"/>
      <c r="N27" s="36"/>
      <c r="O27" s="36"/>
      <c r="P27" s="36"/>
      <c r="Q27" s="36"/>
      <c r="R27" s="36"/>
      <c r="S27" s="36"/>
      <c r="T27" s="36"/>
      <c r="U27" s="36"/>
      <c r="V27" s="36"/>
    </row>
    <row r="28" spans="1:22" x14ac:dyDescent="0.3">
      <c r="A28" s="36"/>
      <c r="B28" s="36"/>
      <c r="C28" s="36"/>
      <c r="D28" s="36"/>
      <c r="E28" s="36"/>
      <c r="F28" s="36"/>
      <c r="G28" s="36"/>
      <c r="H28" s="36"/>
      <c r="I28" s="36"/>
      <c r="J28" s="36"/>
      <c r="K28" s="36"/>
      <c r="L28" s="36"/>
      <c r="M28" s="36"/>
      <c r="N28" s="36"/>
      <c r="O28" s="36"/>
      <c r="P28" s="36"/>
      <c r="Q28" s="36"/>
      <c r="R28" s="36"/>
      <c r="S28" s="36"/>
      <c r="T28" s="36"/>
      <c r="U28" s="36"/>
      <c r="V28" s="36"/>
    </row>
    <row r="29" spans="1:22" x14ac:dyDescent="0.3">
      <c r="A29" s="36"/>
      <c r="B29" s="36"/>
      <c r="C29" s="36"/>
      <c r="D29" s="36"/>
      <c r="E29" s="36"/>
      <c r="F29" s="36"/>
      <c r="G29" s="36"/>
      <c r="H29" s="36"/>
      <c r="I29" s="36"/>
      <c r="J29" s="36"/>
      <c r="K29" s="36"/>
      <c r="L29" s="36"/>
      <c r="M29" s="36"/>
      <c r="N29" s="36"/>
      <c r="O29" s="36"/>
      <c r="P29" s="36"/>
      <c r="Q29" s="36"/>
      <c r="R29" s="36"/>
      <c r="S29" s="36"/>
      <c r="T29" s="36"/>
      <c r="U29" s="36"/>
      <c r="V29" s="36"/>
    </row>
    <row r="30" spans="1:22" x14ac:dyDescent="0.3">
      <c r="A30" s="36"/>
      <c r="B30" s="36"/>
      <c r="C30" s="36"/>
      <c r="D30" s="36"/>
      <c r="E30" s="36"/>
      <c r="F30" s="36"/>
      <c r="G30" s="36"/>
      <c r="H30" s="36"/>
      <c r="I30" s="36"/>
      <c r="J30" s="36"/>
      <c r="K30" s="36"/>
      <c r="L30" s="36"/>
      <c r="M30" s="36"/>
      <c r="N30" s="36"/>
      <c r="O30" s="36"/>
      <c r="P30" s="36"/>
      <c r="Q30" s="36"/>
      <c r="R30" s="36"/>
      <c r="S30" s="36"/>
      <c r="T30" s="36"/>
      <c r="U30" s="36"/>
      <c r="V30" s="36"/>
    </row>
  </sheetData>
  <mergeCells count="1">
    <mergeCell ref="A1:V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90B06-5915-4096-8D23-5273B3DA5F90}">
  <dimension ref="A3:Q11"/>
  <sheetViews>
    <sheetView zoomScale="73" workbookViewId="0">
      <selection activeCell="U13" sqref="U13"/>
    </sheetView>
  </sheetViews>
  <sheetFormatPr defaultRowHeight="14.4" x14ac:dyDescent="0.3"/>
  <cols>
    <col min="1" max="1" width="13.33203125" bestFit="1" customWidth="1"/>
    <col min="2" max="2" width="18.109375" bestFit="1" customWidth="1"/>
    <col min="3" max="3" width="8.44140625" customWidth="1"/>
    <col min="4" max="4" width="13.33203125" bestFit="1" customWidth="1"/>
    <col min="5" max="5" width="15.6640625" bestFit="1" customWidth="1"/>
    <col min="6" max="6" width="5" customWidth="1"/>
    <col min="7" max="7" width="13.33203125" bestFit="1" customWidth="1"/>
    <col min="8" max="8" width="13.21875" bestFit="1" customWidth="1"/>
    <col min="9" max="9" width="5.6640625" customWidth="1"/>
    <col min="10" max="10" width="20.5546875" bestFit="1" customWidth="1"/>
    <col min="11" max="11" width="23.77734375" bestFit="1" customWidth="1"/>
    <col min="12" max="12" width="6.109375" customWidth="1"/>
    <col min="13" max="13" width="24" bestFit="1" customWidth="1"/>
    <col min="14" max="14" width="23.77734375" bestFit="1" customWidth="1"/>
    <col min="16" max="16" width="13.33203125" bestFit="1" customWidth="1"/>
    <col min="17" max="17" width="23.77734375" bestFit="1" customWidth="1"/>
  </cols>
  <sheetData>
    <row r="3" spans="1:17" x14ac:dyDescent="0.3">
      <c r="A3" s="32" t="s">
        <v>540</v>
      </c>
      <c r="B3" t="s">
        <v>544</v>
      </c>
      <c r="D3" s="32" t="s">
        <v>540</v>
      </c>
      <c r="E3" t="s">
        <v>542</v>
      </c>
      <c r="G3" s="32" t="s">
        <v>540</v>
      </c>
      <c r="H3" t="s">
        <v>543</v>
      </c>
      <c r="J3" s="32" t="s">
        <v>540</v>
      </c>
      <c r="K3" t="s">
        <v>541</v>
      </c>
      <c r="M3" s="32" t="s">
        <v>540</v>
      </c>
      <c r="N3" t="s">
        <v>541</v>
      </c>
      <c r="P3" s="32" t="s">
        <v>540</v>
      </c>
      <c r="Q3" t="s">
        <v>541</v>
      </c>
    </row>
    <row r="4" spans="1:17" x14ac:dyDescent="0.3">
      <c r="A4" s="33" t="s">
        <v>20</v>
      </c>
      <c r="B4" s="35">
        <v>890.14999999999964</v>
      </c>
      <c r="D4" s="33" t="s">
        <v>13</v>
      </c>
      <c r="E4" s="35">
        <v>90</v>
      </c>
      <c r="G4" s="33" t="s">
        <v>27</v>
      </c>
      <c r="H4" s="35">
        <v>339.73999999999995</v>
      </c>
      <c r="J4" s="33" t="s">
        <v>463</v>
      </c>
      <c r="K4" s="35">
        <v>40.18</v>
      </c>
      <c r="M4" s="33" t="s">
        <v>529</v>
      </c>
      <c r="N4" s="35">
        <v>0.27</v>
      </c>
      <c r="P4" s="33" t="s">
        <v>546</v>
      </c>
      <c r="Q4" s="35">
        <v>609.62000000000012</v>
      </c>
    </row>
    <row r="5" spans="1:17" x14ac:dyDescent="0.3">
      <c r="A5" s="33" t="s">
        <v>16</v>
      </c>
      <c r="B5" s="35">
        <v>576.46999999999991</v>
      </c>
      <c r="D5" s="33" t="s">
        <v>22</v>
      </c>
      <c r="E5" s="35">
        <v>61</v>
      </c>
      <c r="G5" s="33" t="s">
        <v>15</v>
      </c>
      <c r="H5" s="35">
        <v>363.74999999999977</v>
      </c>
      <c r="J5" s="33" t="s">
        <v>232</v>
      </c>
      <c r="K5" s="35">
        <v>35.909999999999997</v>
      </c>
      <c r="M5" s="33" t="s">
        <v>394</v>
      </c>
      <c r="N5" s="35">
        <v>0.23</v>
      </c>
      <c r="P5" s="33" t="s">
        <v>547</v>
      </c>
      <c r="Q5" s="35">
        <v>887.47</v>
      </c>
    </row>
    <row r="6" spans="1:17" x14ac:dyDescent="0.3">
      <c r="A6" s="33" t="s">
        <v>31</v>
      </c>
      <c r="B6" s="35">
        <v>1848.6200000000008</v>
      </c>
      <c r="D6" s="33" t="s">
        <v>29</v>
      </c>
      <c r="E6" s="35">
        <v>55</v>
      </c>
      <c r="G6" s="33" t="s">
        <v>48</v>
      </c>
      <c r="H6" s="35">
        <v>355.56999999999994</v>
      </c>
      <c r="J6" s="33" t="s">
        <v>59</v>
      </c>
      <c r="K6" s="35">
        <v>36.880000000000003</v>
      </c>
      <c r="M6" s="33" t="s">
        <v>487</v>
      </c>
      <c r="N6" s="35">
        <v>0.38</v>
      </c>
      <c r="P6" s="33" t="s">
        <v>548</v>
      </c>
      <c r="Q6" s="35">
        <v>683.62</v>
      </c>
    </row>
    <row r="7" spans="1:17" x14ac:dyDescent="0.3">
      <c r="A7" s="33" t="s">
        <v>40</v>
      </c>
      <c r="B7" s="35">
        <v>702.22</v>
      </c>
      <c r="D7" s="33" t="s">
        <v>44</v>
      </c>
      <c r="E7" s="35">
        <v>78</v>
      </c>
      <c r="G7" s="33" t="s">
        <v>19</v>
      </c>
      <c r="H7" s="35">
        <v>354.7999999999999</v>
      </c>
      <c r="J7" s="33" t="s">
        <v>151</v>
      </c>
      <c r="K7" s="35">
        <v>36.479999999999997</v>
      </c>
      <c r="M7" s="33" t="s">
        <v>417</v>
      </c>
      <c r="N7" s="35">
        <v>0.32</v>
      </c>
      <c r="P7" s="33" t="s">
        <v>549</v>
      </c>
      <c r="Q7" s="35">
        <v>828.19999999999982</v>
      </c>
    </row>
    <row r="8" spans="1:17" x14ac:dyDescent="0.3">
      <c r="A8" s="33" t="s">
        <v>11</v>
      </c>
      <c r="B8" s="35">
        <v>491.96999999999997</v>
      </c>
      <c r="D8" s="33" t="s">
        <v>33</v>
      </c>
      <c r="E8" s="35">
        <v>35</v>
      </c>
      <c r="G8" s="33" t="s">
        <v>24</v>
      </c>
      <c r="H8" s="35">
        <v>389.92</v>
      </c>
      <c r="J8" s="33" t="s">
        <v>384</v>
      </c>
      <c r="K8" s="35">
        <v>38.979999999999997</v>
      </c>
      <c r="M8" s="33" t="s">
        <v>474</v>
      </c>
      <c r="N8" s="35">
        <v>0.22</v>
      </c>
      <c r="P8" s="33" t="s">
        <v>550</v>
      </c>
      <c r="Q8" s="35">
        <v>780.6099999999999</v>
      </c>
    </row>
    <row r="9" spans="1:17" x14ac:dyDescent="0.3">
      <c r="D9" s="33" t="s">
        <v>26</v>
      </c>
      <c r="E9" s="35">
        <v>35</v>
      </c>
      <c r="J9" s="33" t="s">
        <v>166</v>
      </c>
      <c r="K9" s="35">
        <v>37.36</v>
      </c>
      <c r="M9" s="33" t="s">
        <v>492</v>
      </c>
      <c r="N9" s="35">
        <v>0.17</v>
      </c>
      <c r="P9" s="33" t="s">
        <v>551</v>
      </c>
      <c r="Q9" s="35">
        <v>719.91000000000008</v>
      </c>
    </row>
    <row r="10" spans="1:17" x14ac:dyDescent="0.3">
      <c r="D10" s="33" t="s">
        <v>46</v>
      </c>
      <c r="E10" s="35">
        <v>80</v>
      </c>
    </row>
    <row r="11" spans="1:17" x14ac:dyDescent="0.3">
      <c r="D11" s="33" t="s">
        <v>36</v>
      </c>
      <c r="E11" s="35">
        <v>66</v>
      </c>
    </row>
  </sheetData>
  <pageMargins left="0.7" right="0.7" top="0.75" bottom="0.75" header="0.3" footer="0.3"/>
  <pageSetup orientation="portrait" r:id="rId7"/>
  <drawing r:id="rId8"/>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Web Series Ratings</vt:lpstr>
      <vt:lpstr>Industry Summary</vt:lpstr>
      <vt:lpstr>Platform Summary</vt:lpstr>
      <vt:lpstr>Genre Summary</vt:lpstr>
      <vt:lpstr>final_dashboard</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RAGHAV TYAGI</cp:lastModifiedBy>
  <cp:revision>0</cp:revision>
  <dcterms:created xsi:type="dcterms:W3CDTF">2026-04-16T06:56:00Z</dcterms:created>
  <dcterms:modified xsi:type="dcterms:W3CDTF">2026-04-16T12:40:26Z</dcterms:modified>
  <dc:language>en-US</dc:language>
</cp:coreProperties>
</file>